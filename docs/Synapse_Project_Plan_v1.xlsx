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 &amp; Read-Me" sheetId="1" state="visible" r:id="rId1"/>
    <sheet xmlns:r="http://schemas.openxmlformats.org/officeDocument/2006/relationships" name="2. Current State Snapshot" sheetId="2" state="visible" r:id="rId2"/>
    <sheet xmlns:r="http://schemas.openxmlformats.org/officeDocument/2006/relationships" name="3. WBS" sheetId="3" state="visible" r:id="rId3"/>
    <sheet xmlns:r="http://schemas.openxmlformats.org/officeDocument/2006/relationships" name="4. Phase 2 Day Plan" sheetId="4" state="visible" r:id="rId4"/>
    <sheet xmlns:r="http://schemas.openxmlformats.org/officeDocument/2006/relationships" name="5. Phase 3 Day Plan" sheetId="5" state="visible" r:id="rId5"/>
    <sheet xmlns:r="http://schemas.openxmlformats.org/officeDocument/2006/relationships" name="6. Phase 4 Day Plan" sheetId="6" state="visible" r:id="rId6"/>
    <sheet xmlns:r="http://schemas.openxmlformats.org/officeDocument/2006/relationships" name="7. Milestones" sheetId="7" state="visible" r:id="rId7"/>
    <sheet xmlns:r="http://schemas.openxmlformats.org/officeDocument/2006/relationships" name="8. Gantt" sheetId="8" state="visible" r:id="rId8"/>
    <sheet xmlns:r="http://schemas.openxmlformats.org/officeDocument/2006/relationships" name="9. Risks" sheetId="9" state="visible" r:id="rId9"/>
    <sheet xmlns:r="http://schemas.openxmlformats.org/officeDocument/2006/relationships" name="10. Open Deci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color rgb="00000000"/>
      <sz val="10"/>
    </font>
    <font>
      <name val="Calibri"/>
      <b val="1"/>
      <color rgb="0000206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595959"/>
      <sz val="9"/>
    </font>
    <font>
      <name val="Calibri"/>
      <b val="1"/>
      <color rgb="00002060"/>
      <sz val="14"/>
    </font>
  </fonts>
  <fills count="14">
    <fill>
      <patternFill/>
    </fill>
    <fill>
      <patternFill patternType="gray125"/>
    </fill>
    <fill>
      <patternFill patternType="solid">
        <fgColor rgb="00102898"/>
      </patternFill>
    </fill>
    <fill>
      <patternFill patternType="solid">
        <fgColor rgb="00F2F2F2"/>
      </patternFill>
    </fill>
    <fill>
      <patternFill patternType="solid">
        <fgColor rgb="00FFF2E5"/>
      </patternFill>
    </fill>
    <fill>
      <patternFill patternType="solid">
        <fgColor rgb="00FDE8E8"/>
      </patternFill>
    </fill>
    <fill>
      <patternFill patternType="solid">
        <fgColor rgb="00E8F5E8"/>
      </patternFill>
    </fill>
    <fill>
      <patternFill patternType="solid">
        <fgColor rgb="00FFFFC0"/>
      </patternFill>
    </fill>
    <fill>
      <patternFill patternType="solid">
        <fgColor rgb="00002060"/>
      </patternFill>
    </fill>
    <fill>
      <patternFill patternType="solid">
        <fgColor rgb="00EBF3FB"/>
      </patternFill>
    </fill>
    <fill>
      <patternFill patternType="solid">
        <fgColor rgb="00EDF2FC"/>
      </patternFill>
    </fill>
    <fill>
      <patternFill patternType="solid">
        <fgColor rgb="001E5BB8"/>
      </patternFill>
    </fill>
    <fill>
      <patternFill patternType="solid">
        <fgColor rgb="00C77600"/>
      </patternFill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8" fillId="0" borderId="0" pivotButton="0" quotePrefix="0" xfId="0"/>
    <xf numFmtId="0" fontId="4" fillId="9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0" pivotButton="0" quotePrefix="0" xfId="0"/>
    <xf numFmtId="0" fontId="4" fillId="9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3" fillId="10" borderId="1" pivotButton="0" quotePrefix="0" xfId="0"/>
    <xf numFmtId="164" fontId="3" fillId="10" borderId="1" pivotButton="0" quotePrefix="0" xfId="0"/>
    <xf numFmtId="165" fontId="4" fillId="9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left" vertical="top" wrapText="1"/>
    </xf>
    <xf numFmtId="164" fontId="3" fillId="0" borderId="0" pivotButton="0" quotePrefix="0" xfId="0"/>
    <xf numFmtId="0" fontId="4" fillId="9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0" fillId="9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ont>
        <name val="Calibri"/>
        <b val="1"/>
        <color rgb="002D6A4F"/>
        <sz val="10"/>
      </font>
      <fill>
        <patternFill patternType="solid">
          <fgColor rgb="00E8F5E8"/>
        </patternFill>
      </fill>
    </dxf>
    <dxf>
      <font>
        <name val="Calibri"/>
        <b val="1"/>
        <color rgb="00B45309"/>
        <sz val="10"/>
      </font>
      <fill>
        <patternFill patternType="solid">
          <fgColor rgb="00FFF2E5"/>
        </patternFill>
      </fill>
    </dxf>
    <dxf>
      <font>
        <name val="Calibri"/>
        <b val="1"/>
        <color rgb="00991B1B"/>
        <sz val="10"/>
      </font>
      <fill>
        <patternFill patternType="solid">
          <fgColor rgb="00FDE8E8"/>
        </patternFill>
      </fill>
    </dxf>
    <dxf>
      <font>
        <name val="Calibri"/>
        <color rgb="00595959"/>
        <sz val="10"/>
      </font>
      <fill>
        <patternFill patternType="solid">
          <fgColor rgb="00F2F2F2"/>
        </patternFill>
      </fill>
    </dxf>
    <dxf>
      <fill>
        <patternFill patternType="solid">
          <fgColor rgb="00FDE8E8"/>
        </patternFill>
      </fill>
    </dxf>
    <dxf>
      <fill>
        <patternFill patternType="solid">
          <fgColor rgb="00FFF2E5"/>
        </patternFill>
      </fill>
    </dxf>
    <dxf>
      <fill>
        <patternFill patternType="solid">
          <fgColor rgb="00E8F5E8"/>
        </patternFill>
      </fill>
    </dxf>
    <dxf>
      <font>
        <b val="1"/>
        <color rgb="00FFFFFF"/>
      </font>
      <fill>
        <patternFill patternType="solid">
          <fgColor rgb="00FD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  <col width="12" customWidth="1" min="4" max="4"/>
    <col width="12" customWidth="1" min="5" max="5"/>
    <col width="12" customWidth="1" min="6" max="6"/>
  </cols>
  <sheetData>
    <row r="1" ht="36" customHeight="1">
      <c r="A1" s="1" t="inlineStr">
        <is>
          <t>SYNAPSE INTEGRATION PLATFORM — PROJECT PLAN</t>
        </is>
      </c>
    </row>
    <row r="2" ht="22" customHeight="1">
      <c r="A2" s="2" t="inlineStr">
        <is>
          <t>Day-level WBS for Phase 2 → Phase 4  |  Companion to Synapse_BRD_v1.docx</t>
        </is>
      </c>
    </row>
    <row r="4">
      <c r="B4" s="3" t="inlineStr">
        <is>
          <t>Version</t>
        </is>
      </c>
      <c r="C4" s="4" t="inlineStr">
        <is>
          <t>1.0</t>
        </is>
      </c>
    </row>
    <row r="5">
      <c r="B5" s="3" t="inlineStr">
        <is>
          <t>Date</t>
        </is>
      </c>
      <c r="C5" s="4" t="inlineStr">
        <is>
          <t>2026-05-04</t>
        </is>
      </c>
    </row>
    <row r="6">
      <c r="B6" s="3" t="inlineStr">
        <is>
          <t>Owner</t>
        </is>
      </c>
      <c r="C6" s="4" t="inlineStr">
        <is>
          <t>Synapse Product Team</t>
        </is>
      </c>
    </row>
    <row r="7">
      <c r="B7" s="3" t="inlineStr">
        <is>
          <t>Classification</t>
        </is>
      </c>
      <c r="C7" s="4" t="inlineStr">
        <is>
          <t>Internal</t>
        </is>
      </c>
    </row>
    <row r="8">
      <c r="B8" s="3" t="inlineStr">
        <is>
          <t>BU</t>
        </is>
      </c>
      <c r="C8" s="4" t="inlineStr">
        <is>
          <t>Nalashaa Digital (GLOBAL)</t>
        </is>
      </c>
    </row>
    <row r="9">
      <c r="B9" s="3" t="inlineStr">
        <is>
          <t>Companion BRD</t>
        </is>
      </c>
      <c r="C9" s="4" t="inlineStr">
        <is>
          <t>Synapse_BRD_v1.docx</t>
        </is>
      </c>
    </row>
    <row r="10">
      <c r="B10" s="3" t="inlineStr">
        <is>
          <t>Companion Charter</t>
        </is>
      </c>
      <c r="C10" s="4" t="inlineStr">
        <is>
          <t>Synapse_Product_Charter_v2.pdf</t>
        </is>
      </c>
    </row>
    <row r="12">
      <c r="B12" s="3" t="inlineStr">
        <is>
          <t>Capacity Assumption</t>
        </is>
      </c>
    </row>
    <row r="13">
      <c r="B13" s="4" t="inlineStr">
        <is>
          <t>• 1 full-time developer + Claude Code (vibe coding).</t>
        </is>
      </c>
    </row>
    <row r="14">
      <c r="B14" s="4" t="inlineStr">
        <is>
          <t>• Working hours: 6–8 productive coding hours per day (pair-programming with AI).</t>
        </is>
      </c>
    </row>
    <row r="15">
      <c r="B15" s="4" t="inlineStr">
        <is>
          <t>• Aggressive day-level estimates throughout — phases may compress further with strong session continuity.</t>
        </is>
      </c>
    </row>
    <row r="16">
      <c r="B16" s="4" t="inlineStr">
        <is>
          <t>• Estimates exclude calendar holidays; absorb interruptions in a 10% buffer per phase.</t>
        </is>
      </c>
    </row>
    <row r="19">
      <c r="B19" s="3" t="inlineStr">
        <is>
          <t>Tab Guide</t>
        </is>
      </c>
    </row>
    <row r="20">
      <c r="B20" s="5" t="inlineStr">
        <is>
          <t>1. Cover &amp; Read-Me</t>
        </is>
      </c>
      <c r="C20" s="4" t="inlineStr">
        <is>
          <t>This tab. Capacity, conventions, status legend, glossary.</t>
        </is>
      </c>
    </row>
    <row r="21">
      <c r="B21" s="5" t="inlineStr">
        <is>
          <t>2. Current State Snapshot</t>
        </is>
      </c>
      <c r="C21" s="4" t="inlineStr">
        <is>
          <t>Module status today (Built / Partial / Stub / Missing) — one-page picture.</t>
        </is>
      </c>
    </row>
    <row r="22">
      <c r="B22" s="5" t="inlineStr">
        <is>
          <t>3. WBS</t>
        </is>
      </c>
      <c r="C22" s="4" t="inlineStr">
        <is>
          <t>Master backlog: every story with phase, module, epic, estimate, dependencies, status.</t>
        </is>
      </c>
    </row>
    <row r="23">
      <c r="B23" s="5" t="inlineStr">
        <is>
          <t>4. Phase 2 Day Plan</t>
        </is>
      </c>
      <c r="C23" s="4" t="inlineStr">
        <is>
          <t>Days 1 → ~40. Goal of the day, files touched, test that proves done.</t>
        </is>
      </c>
    </row>
    <row r="24">
      <c r="B24" s="5" t="inlineStr">
        <is>
          <t>5. Phase 3 Day Plan</t>
        </is>
      </c>
      <c r="C24" s="4" t="inlineStr">
        <is>
          <t>Days ~41 → ~70. Scale &amp; Governance items.</t>
        </is>
      </c>
    </row>
    <row r="25">
      <c r="B25" s="5" t="inlineStr">
        <is>
          <t>6. Phase 4 Day Plan</t>
        </is>
      </c>
      <c r="C25" s="4" t="inlineStr">
        <is>
          <t>Days ~71 → ~90. Polish &amp; Distribution.</t>
        </is>
      </c>
    </row>
    <row r="26">
      <c r="B26" s="5" t="inlineStr">
        <is>
          <t>7. Milestones</t>
        </is>
      </c>
      <c r="C26" s="4" t="inlineStr">
        <is>
          <t>Demo and go-live checkpoints.</t>
        </is>
      </c>
    </row>
    <row r="27">
      <c r="B27" s="5" t="inlineStr">
        <is>
          <t>8. Gantt</t>
        </is>
      </c>
      <c r="C27" s="4" t="inlineStr">
        <is>
          <t>Visual timeline — bars per epic across the day axis.</t>
        </is>
      </c>
    </row>
    <row r="28">
      <c r="B28" s="5" t="inlineStr">
        <is>
          <t>9. Risks</t>
        </is>
      </c>
      <c r="C28" s="4" t="inlineStr">
        <is>
          <t>Risk register with likelihood, impact, mitigation, owner.</t>
        </is>
      </c>
    </row>
    <row r="29">
      <c r="B29" s="5" t="inlineStr">
        <is>
          <t>10. Open Decisions</t>
        </is>
      </c>
      <c r="C29" s="4" t="inlineStr">
        <is>
          <t>Open product / engineering decisions with decide-by day numbers.</t>
        </is>
      </c>
    </row>
    <row r="32">
      <c r="B32" s="3" t="inlineStr">
        <is>
          <t>Status Legend</t>
        </is>
      </c>
    </row>
    <row r="33">
      <c r="B33" s="6" t="inlineStr">
        <is>
          <t>Not Started</t>
        </is>
      </c>
      <c r="C33" s="4" t="inlineStr">
        <is>
          <t>Editable status — drives conditional formatting throughout the workbook.</t>
        </is>
      </c>
    </row>
    <row r="34">
      <c r="B34" s="7" t="inlineStr">
        <is>
          <t>In Progress</t>
        </is>
      </c>
      <c r="C34" s="4" t="inlineStr">
        <is>
          <t>Editable status — drives conditional formatting throughout the workbook.</t>
        </is>
      </c>
    </row>
    <row r="35">
      <c r="B35" s="8" t="inlineStr">
        <is>
          <t>Blocked</t>
        </is>
      </c>
      <c r="C35" s="4" t="inlineStr">
        <is>
          <t>Editable status — drives conditional formatting throughout the workbook.</t>
        </is>
      </c>
    </row>
    <row r="36">
      <c r="B36" s="9" t="inlineStr">
        <is>
          <t>Done</t>
        </is>
      </c>
      <c r="C36" s="4" t="inlineStr">
        <is>
          <t>Editable status — drives conditional formatting throughout the workbook.</t>
        </is>
      </c>
    </row>
    <row r="39">
      <c r="B39" s="3" t="inlineStr">
        <is>
          <t>Cell Color Key</t>
        </is>
      </c>
    </row>
    <row r="40">
      <c r="B40" s="10" t="inlineStr">
        <is>
          <t>Editable</t>
        </is>
      </c>
      <c r="C40" s="4" t="inlineStr">
        <is>
          <t>Update as you progress (Status, Notes, Actual Days)</t>
        </is>
      </c>
    </row>
    <row r="41">
      <c r="B41" s="6" t="inlineStr">
        <is>
          <t>Calculated</t>
        </is>
      </c>
      <c r="C41" s="4" t="inlineStr">
        <is>
          <t>Formula-driven — do not edit</t>
        </is>
      </c>
    </row>
    <row r="42">
      <c r="B42" s="11" t="inlineStr">
        <is>
          <t>Header</t>
        </is>
      </c>
      <c r="C42" s="4" t="inlineStr">
        <is>
          <t>Tab header — locked</t>
        </is>
      </c>
    </row>
    <row r="46">
      <c r="A46" s="12" t="inlineStr">
        <is>
          <t>© 2026 Nalashaa Solutions India Pvt. Ltd. | Confidential — Internal Use Only</t>
        </is>
      </c>
    </row>
  </sheetData>
  <mergeCells count="3">
    <mergeCell ref="A2:F2"/>
    <mergeCell ref="A1:F1"/>
    <mergeCell ref="A46:F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70" customWidth="1" min="4" max="4"/>
  </cols>
  <sheetData>
    <row r="1" ht="24" customHeight="1">
      <c r="A1" s="13" t="inlineStr">
        <is>
          <t>Current State Snapshot — As of 4 May 2026</t>
        </is>
      </c>
    </row>
    <row r="2">
      <c r="A2" s="14" t="inlineStr">
        <is>
          <t>Source: codebase walkthrough + PRODUCT_STATUS.md</t>
        </is>
      </c>
    </row>
    <row r="4" ht="30" customHeight="1">
      <c r="A4" s="11" t="inlineStr">
        <is>
          <t>#</t>
        </is>
      </c>
      <c r="B4" s="11" t="inlineStr">
        <is>
          <t>Module</t>
        </is>
      </c>
      <c r="C4" s="11" t="inlineStr">
        <is>
          <t>Status</t>
        </is>
      </c>
      <c r="D4" s="11" t="inlineStr">
        <is>
          <t>Notes</t>
        </is>
      </c>
    </row>
    <row r="5">
      <c r="A5" s="15" t="n">
        <v>1</v>
      </c>
      <c r="B5" s="15" t="inlineStr">
        <is>
          <t>Jira Source — REST API (Red Gold)</t>
        </is>
      </c>
      <c r="C5" s="15" t="inlineStr">
        <is>
          <t>Built</t>
        </is>
      </c>
      <c r="D5" s="15" t="inlineStr">
        <is>
          <t>Basic Auth + JQL search, retries, custom-field parsing, normaliser.</t>
        </is>
      </c>
    </row>
    <row r="6">
      <c r="A6" s="16" t="n">
        <v>2</v>
      </c>
      <c r="B6" s="16" t="inlineStr">
        <is>
          <t>Jira Source — Browser Automation (Flatiron)</t>
        </is>
      </c>
      <c r="C6" s="16" t="inlineStr">
        <is>
          <t>Built</t>
        </is>
      </c>
      <c r="D6" s="16" t="inlineStr">
        <is>
          <t>Playwright SSO/MFA, TOTP, 8h cookie session cache.</t>
        </is>
      </c>
    </row>
    <row r="7">
      <c r="A7" s="15" t="n">
        <v>3</v>
      </c>
      <c r="B7" s="15" t="inlineStr">
        <is>
          <t>SharePoint Destination</t>
        </is>
      </c>
      <c r="C7" s="15" t="inlineStr">
        <is>
          <t>Built</t>
        </is>
      </c>
      <c r="D7" s="15" t="inlineStr">
        <is>
          <t>OAuth2 client credentials, Graph API site/list resolution, batched 20/req.</t>
        </is>
      </c>
    </row>
    <row r="8">
      <c r="A8" s="16" t="n">
        <v>4</v>
      </c>
      <c r="B8" s="16" t="inlineStr">
        <is>
          <t>Field Mapping (Jira → SharePoint, 35 fields)</t>
        </is>
      </c>
      <c r="C8" s="16" t="inlineStr">
        <is>
          <t>Built</t>
        </is>
      </c>
      <c r="D8" s="16" t="inlineStr">
        <is>
          <t>12 standard + 23 derived (CycleTimeDays, IsOverdue, SprintNumber, etc.).</t>
        </is>
      </c>
    </row>
    <row r="9">
      <c r="A9" s="15" t="n">
        <v>5</v>
      </c>
      <c r="B9" s="15" t="inlineStr">
        <is>
          <t>Credential Encryption (AES-256-GCM)</t>
        </is>
      </c>
      <c r="C9" s="15" t="inlineStr">
        <is>
          <t>Built</t>
        </is>
      </c>
      <c r="D9" s="15" t="inlineStr">
        <is>
          <t>Store-only; no GET/decrypt endpoint yet.</t>
        </is>
      </c>
    </row>
    <row r="10">
      <c r="A10" s="16" t="n">
        <v>6</v>
      </c>
      <c r="B10" s="16" t="inlineStr">
        <is>
          <t>Integration CRUD</t>
        </is>
      </c>
      <c r="C10" s="16" t="inlineStr">
        <is>
          <t>Built</t>
        </is>
      </c>
      <c r="D10" s="16" t="inlineStr">
        <is>
          <t>Zod-validated, JSONB mappings + retry policy.</t>
        </is>
      </c>
    </row>
    <row r="11">
      <c r="A11" s="15" t="n">
        <v>7</v>
      </c>
      <c r="B11" s="15" t="inlineStr">
        <is>
          <t>Run Tracking</t>
        </is>
      </c>
      <c r="C11" s="15" t="inlineStr">
        <is>
          <t>Built</t>
        </is>
      </c>
      <c r="D11" s="15" t="inlineStr">
        <is>
          <t>Status pending → running → success/error, record counts.</t>
        </is>
      </c>
    </row>
    <row r="12">
      <c r="A12" s="16" t="n">
        <v>8</v>
      </c>
      <c r="B12" s="16" t="inlineStr">
        <is>
          <t>Cron Scheduling (BullMQ repeatable)</t>
        </is>
      </c>
      <c r="C12" s="16" t="inlineStr">
        <is>
          <t>Built</t>
        </is>
      </c>
      <c r="D12" s="16" t="inlineStr">
        <is>
          <t>PATCH /connected/:id/schedule.</t>
        </is>
      </c>
    </row>
    <row r="13">
      <c r="A13" s="15" t="n">
        <v>9</v>
      </c>
      <c r="B13" s="15" t="inlineStr">
        <is>
          <t>Delta Sync (3 modes)</t>
        </is>
      </c>
      <c r="C13" s="15" t="inlineStr">
        <is>
          <t>Built</t>
        </is>
      </c>
      <c r="D13" s="15" t="inlineStr">
        <is>
          <t>RESYNC, EXTEND_TO_TODAY, CUSTOM. Watermark-based.</t>
        </is>
      </c>
    </row>
    <row r="14">
      <c r="A14" s="16" t="n">
        <v>10</v>
      </c>
      <c r="B14" s="16" t="inlineStr">
        <is>
          <t>3-Layer Dedup</t>
        </is>
      </c>
      <c r="C14" s="16" t="inlineStr">
        <is>
          <t>Built</t>
        </is>
      </c>
      <c r="D14" s="16" t="inlineStr">
        <is>
          <t>pushLog → jiraItemCache → SharePoint live query.</t>
        </is>
      </c>
    </row>
    <row r="15">
      <c r="A15" s="15" t="n">
        <v>11</v>
      </c>
      <c r="B15" s="15" t="inlineStr">
        <is>
          <t>Connection Wizard (6-step)</t>
        </is>
      </c>
      <c r="C15" s="15" t="inlineStr">
        <is>
          <t>Partial</t>
        </is>
      </c>
      <c r="D15" s="15" t="inlineStr">
        <is>
          <t>Only Step 2 (Test Connection) wired. Steps 1, 3, 4, 5, 6 use mock data.</t>
        </is>
      </c>
    </row>
    <row r="16">
      <c r="A16" s="16" t="n">
        <v>12</v>
      </c>
      <c r="B16" s="16" t="inlineStr">
        <is>
          <t>Mapping Canvas</t>
        </is>
      </c>
      <c r="C16" s="16" t="inlineStr">
        <is>
          <t>Partial</t>
        </is>
      </c>
      <c r="D16" s="16" t="inlineStr">
        <is>
          <t>Pure-frontend with simulated AI auto-map. Not persisted.</t>
        </is>
      </c>
    </row>
    <row r="17">
      <c r="A17" s="15" t="n">
        <v>13</v>
      </c>
      <c r="B17" s="15" t="inlineStr">
        <is>
          <t>Push Page</t>
        </is>
      </c>
      <c r="C17" s="15" t="inlineStr">
        <is>
          <t>Partial</t>
        </is>
      </c>
      <c r="D17" s="15" t="inlineStr">
        <is>
          <t>Form-based; talks to /api/sharepoint/push.</t>
        </is>
      </c>
    </row>
    <row r="18">
      <c r="A18" s="16" t="n">
        <v>14</v>
      </c>
      <c r="B18" s="16" t="inlineStr">
        <is>
          <t>Connector Studio</t>
        </is>
      </c>
      <c r="C18" s="16" t="inlineStr">
        <is>
          <t>Stub</t>
        </is>
      </c>
      <c r="D18" s="16" t="inlineStr">
        <is>
          <t>Test/Publish buttons disabled (StudioPage.jsx:86). No backend.</t>
        </is>
      </c>
    </row>
    <row r="19">
      <c r="A19" s="15" t="n">
        <v>15</v>
      </c>
      <c r="B19" s="15" t="inlineStr">
        <is>
          <t>Health Dashboard</t>
        </is>
      </c>
      <c r="C19" s="15" t="inlineStr">
        <is>
          <t>Stub UI</t>
        </is>
      </c>
      <c r="D19" s="15" t="inlineStr">
        <is>
          <t>Beautiful UI, all mock data.</t>
        </is>
      </c>
    </row>
    <row r="20">
      <c r="A20" s="16" t="n">
        <v>16</v>
      </c>
      <c r="B20" s="16" t="inlineStr">
        <is>
          <t>Integration Registry</t>
        </is>
      </c>
      <c r="C20" s="16" t="inlineStr">
        <is>
          <t>Stub UI</t>
        </is>
      </c>
      <c r="D20" s="16" t="inlineStr">
        <is>
          <t>Cards + sparklines; mock integrations.js.</t>
        </is>
      </c>
    </row>
    <row r="21">
      <c r="A21" s="15" t="n">
        <v>17</v>
      </c>
      <c r="B21" s="15" t="inlineStr">
        <is>
          <t>Trading Network Console (Monitor)</t>
        </is>
      </c>
      <c r="C21" s="15" t="inlineStr">
        <is>
          <t>Stub UI</t>
        </is>
      </c>
      <c r="D21" s="15" t="inlineStr">
        <is>
          <t>Mock monitorData.js.</t>
        </is>
      </c>
    </row>
    <row r="22">
      <c r="A22" s="16" t="n">
        <v>18</v>
      </c>
      <c r="B22" s="16" t="inlineStr">
        <is>
          <t>Alerts Page</t>
        </is>
      </c>
      <c r="C22" s="16" t="inlineStr">
        <is>
          <t>Stub UI</t>
        </is>
      </c>
      <c r="D22" s="16" t="inlineStr">
        <is>
          <t>Mock alerts.js. No backend dispatch.</t>
        </is>
      </c>
    </row>
    <row r="23">
      <c r="A23" s="15" t="n">
        <v>19</v>
      </c>
      <c r="B23" s="15" t="inlineStr">
        <is>
          <t>Credential Vault Page</t>
        </is>
      </c>
      <c r="C23" s="15" t="inlineStr">
        <is>
          <t>Stub UI</t>
        </is>
      </c>
      <c r="D23" s="15" t="inlineStr">
        <is>
          <t>Mock credentials.js. Eye-icon UX present.</t>
        </is>
      </c>
    </row>
    <row r="24">
      <c r="A24" s="16" t="n">
        <v>20</v>
      </c>
      <c r="B24" s="16" t="inlineStr">
        <is>
          <t>Master Entity Catalog</t>
        </is>
      </c>
      <c r="C24" s="16" t="inlineStr">
        <is>
          <t>Stub UI</t>
        </is>
      </c>
      <c r="D24" s="16" t="inlineStr">
        <is>
          <t>Tree + field usage on hardcoded data.</t>
        </is>
      </c>
    </row>
    <row r="25">
      <c r="A25" s="15" t="n">
        <v>21</v>
      </c>
      <c r="B25" s="15" t="inlineStr">
        <is>
          <t>Connected (Integrations Dashboard)</t>
        </is>
      </c>
      <c r="C25" s="15" t="inlineStr">
        <is>
          <t>Stub UI</t>
        </is>
      </c>
      <c r="D25" s="15" t="inlineStr">
        <is>
          <t>Mock data; schedule modal works against real backend in some paths.</t>
        </is>
      </c>
    </row>
    <row r="26">
      <c r="A26" s="16" t="n">
        <v>22</v>
      </c>
      <c r="B26" s="16" t="inlineStr">
        <is>
          <t>Admin (Users + Client Apps)</t>
        </is>
      </c>
      <c r="C26" s="16" t="inlineStr">
        <is>
          <t>Stub UI</t>
        </is>
      </c>
      <c r="D26" s="16" t="inlineStr">
        <is>
          <t>Mock data; no auth backend.</t>
        </is>
      </c>
    </row>
    <row r="27">
      <c r="A27" s="15" t="n">
        <v>23</v>
      </c>
      <c r="B27" s="15" t="inlineStr">
        <is>
          <t>User Auth + JWT</t>
        </is>
      </c>
      <c r="C27" s="15" t="inlineStr">
        <is>
          <t>Missing</t>
        </is>
      </c>
      <c r="D27" s="15" t="inlineStr">
        <is>
          <t>users + role enum + organizations exist; never enforced.</t>
        </is>
      </c>
    </row>
    <row r="28">
      <c r="A28" s="16" t="n">
        <v>24</v>
      </c>
      <c r="B28" s="16" t="inlineStr">
        <is>
          <t>RBAC Enforcement</t>
        </is>
      </c>
      <c r="C28" s="16" t="inlineStr">
        <is>
          <t>Missing</t>
        </is>
      </c>
      <c r="D28" s="16" t="inlineStr">
        <is>
          <t>No middleware checks role on routes.</t>
        </is>
      </c>
    </row>
    <row r="29">
      <c r="A29" s="15" t="n">
        <v>25</v>
      </c>
      <c r="B29" s="15" t="inlineStr">
        <is>
          <t>Multi-Tenancy</t>
        </is>
      </c>
      <c r="C29" s="15" t="inlineStr">
        <is>
          <t>Missing</t>
        </is>
      </c>
      <c r="D29" s="15" t="inlineStr">
        <is>
          <t>Hardcoded org UUID.</t>
        </is>
      </c>
    </row>
    <row r="30">
      <c r="A30" s="16" t="n">
        <v>26</v>
      </c>
      <c r="B30" s="16" t="inlineStr">
        <is>
          <t>Alerts System (creation + dispatch)</t>
        </is>
      </c>
      <c r="C30" s="16" t="inlineStr">
        <is>
          <t>Missing</t>
        </is>
      </c>
      <c r="D30" s="16" t="inlineStr">
        <is>
          <t>DB table + queue declared; no logic.</t>
        </is>
      </c>
    </row>
    <row r="31">
      <c r="A31" s="15" t="n">
        <v>27</v>
      </c>
      <c r="B31" s="15" t="inlineStr">
        <is>
          <t>Audit Log Writer</t>
        </is>
      </c>
      <c r="C31" s="15" t="inlineStr">
        <is>
          <t>Missing</t>
        </is>
      </c>
      <c r="D31" s="15" t="inlineStr">
        <is>
          <t>DB table exists; nothing writes to it.</t>
        </is>
      </c>
    </row>
    <row r="32">
      <c r="A32" s="16" t="n">
        <v>28</v>
      </c>
      <c r="B32" s="16" t="inlineStr">
        <is>
          <t>Web Scraping (Apify / Playwright actor)</t>
        </is>
      </c>
      <c r="C32" s="16" t="inlineStr">
        <is>
          <t>Missing</t>
        </is>
      </c>
      <c r="D32" s="16" t="inlineStr">
        <is>
          <t>Charter Phase 2.</t>
        </is>
      </c>
    </row>
    <row r="33">
      <c r="A33" s="15" t="n">
        <v>29</v>
      </c>
      <c r="B33" s="15" t="inlineStr">
        <is>
          <t>DB / File Share / MQ Connector Types</t>
        </is>
      </c>
      <c r="C33" s="15" t="inlineStr">
        <is>
          <t>Missing</t>
        </is>
      </c>
      <c r="D33" s="15" t="inlineStr">
        <is>
          <t>Charter Phase 2.</t>
        </is>
      </c>
    </row>
    <row r="34">
      <c r="A34" s="16" t="n">
        <v>30</v>
      </c>
      <c r="B34" s="16" t="inlineStr">
        <is>
          <t>AI Auto-Mapping (real LLM)</t>
        </is>
      </c>
      <c r="C34" s="16" t="inlineStr">
        <is>
          <t>Missing</t>
        </is>
      </c>
      <c r="D34" s="16" t="inlineStr">
        <is>
          <t>Stub UI only.</t>
        </is>
      </c>
    </row>
    <row r="35">
      <c r="A35" s="15" t="n">
        <v>31</v>
      </c>
      <c r="B35" s="15" t="inlineStr">
        <is>
          <t>AI Help Assistant</t>
        </is>
      </c>
      <c r="C35" s="15" t="inlineStr">
        <is>
          <t>Missing</t>
        </is>
      </c>
      <c r="D35" s="15" t="inlineStr">
        <is>
          <t>Charter Phase 3.</t>
        </is>
      </c>
    </row>
    <row r="36">
      <c r="A36" s="16" t="n">
        <v>32</v>
      </c>
      <c r="B36" s="16" t="inlineStr">
        <is>
          <t>Dynamics 365 / TARA / PostgreSQL / Excel / Keka connectors</t>
        </is>
      </c>
      <c r="C36" s="16" t="inlineStr">
        <is>
          <t>Missing</t>
        </is>
      </c>
      <c r="D36" s="16" t="inlineStr">
        <is>
          <t>Phase 2 expansion.</t>
        </is>
      </c>
    </row>
    <row r="37">
      <c r="A37" s="15" t="n">
        <v>33</v>
      </c>
      <c r="B37" s="15" t="inlineStr">
        <is>
          <t>TFS / Holiday Tracker / Ahrefs / GSC / Google Adwords destinations</t>
        </is>
      </c>
      <c r="C37" s="15" t="inlineStr">
        <is>
          <t>Missing</t>
        </is>
      </c>
      <c r="D37" s="15" t="inlineStr">
        <is>
          <t>Phase 2-3 expansion.</t>
        </is>
      </c>
    </row>
    <row r="40">
      <c r="B40" s="3" t="inlineStr">
        <is>
          <t>Tally</t>
        </is>
      </c>
    </row>
    <row r="41">
      <c r="B41" s="4" t="inlineStr">
        <is>
          <t>Built</t>
        </is>
      </c>
      <c r="C41" s="17">
        <f>COUNTIF(C5:C37,"Built")</f>
        <v/>
      </c>
    </row>
    <row r="42">
      <c r="B42" s="4" t="inlineStr">
        <is>
          <t>Partial</t>
        </is>
      </c>
      <c r="C42" s="17">
        <f>COUNTIF(C5:C37,"Partial")</f>
        <v/>
      </c>
    </row>
    <row r="43">
      <c r="B43" s="4" t="inlineStr">
        <is>
          <t>Stub UI</t>
        </is>
      </c>
      <c r="C43" s="17">
        <f>COUNTIF(C5:C37,"Stub UI")</f>
        <v/>
      </c>
    </row>
    <row r="44">
      <c r="B44" s="4" t="inlineStr">
        <is>
          <t>Stub</t>
        </is>
      </c>
      <c r="C44" s="17">
        <f>COUNTIF(C5:C37,"Stub")</f>
        <v/>
      </c>
    </row>
    <row r="45">
      <c r="B45" s="4" t="inlineStr">
        <is>
          <t>Missing</t>
        </is>
      </c>
      <c r="C45" s="17">
        <f>COUNTIF(C5:C37,"Missing")</f>
        <v/>
      </c>
    </row>
  </sheetData>
  <conditionalFormatting sqref="C5:C37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2" customWidth="1" min="4" max="4"/>
    <col width="38" customWidth="1" min="5" max="5"/>
    <col width="50" customWidth="1" min="6" max="6"/>
    <col width="8" customWidth="1" min="7" max="7"/>
    <col width="16" customWidth="1" min="8" max="8"/>
    <col width="8" customWidth="1" min="9" max="9"/>
    <col width="14" customWidth="1" min="10" max="10"/>
  </cols>
  <sheetData>
    <row r="1" ht="24" customHeight="1">
      <c r="A1" s="13" t="inlineStr">
        <is>
          <t>Work Breakdown Structure</t>
        </is>
      </c>
    </row>
    <row r="2">
      <c r="A2" s="14" t="inlineStr">
        <is>
          <t>Master backlog. Estimates in working days for 1 developer + Claude. Status drives conditional formatting.</t>
        </is>
      </c>
    </row>
    <row r="4" ht="30" customHeight="1">
      <c r="A4" s="11" t="inlineStr">
        <is>
          <t>ID</t>
        </is>
      </c>
      <c r="B4" s="11" t="inlineStr">
        <is>
          <t>Phase</t>
        </is>
      </c>
      <c r="C4" s="11" t="inlineStr">
        <is>
          <t>Module</t>
        </is>
      </c>
      <c r="D4" s="11" t="inlineStr">
        <is>
          <t>Epic</t>
        </is>
      </c>
      <c r="E4" s="11" t="inlineStr">
        <is>
          <t>Story</t>
        </is>
      </c>
      <c r="F4" s="11" t="inlineStr">
        <is>
          <t>Acceptance Criteria (summary)</t>
        </is>
      </c>
      <c r="G4" s="11" t="inlineStr">
        <is>
          <t>Est (d)</t>
        </is>
      </c>
      <c r="H4" s="11" t="inlineStr">
        <is>
          <t>Dependencies</t>
        </is>
      </c>
      <c r="I4" s="11" t="inlineStr">
        <is>
          <t>Risk</t>
        </is>
      </c>
      <c r="J4" s="11" t="inlineStr">
        <is>
          <t>Status</t>
        </is>
      </c>
    </row>
    <row r="5">
      <c r="A5" s="15" t="inlineStr">
        <is>
          <t>F-01</t>
        </is>
      </c>
      <c r="B5" s="15" t="inlineStr">
        <is>
          <t>P2</t>
        </is>
      </c>
      <c r="C5" s="15" t="inlineStr">
        <is>
          <t>Foundation</t>
        </is>
      </c>
      <c r="D5" s="15" t="inlineStr">
        <is>
          <t>Auth &amp; RBAC</t>
        </is>
      </c>
      <c r="E5" s="15" t="inlineStr">
        <is>
          <t>JWT login + auth middleware</t>
        </is>
      </c>
      <c r="F5" s="15" t="inlineStr">
        <is>
          <t>Login screen issues JWT; middleware decodes user + role; protected routes return 401 without token.</t>
        </is>
      </c>
      <c r="G5" s="15" t="n">
        <v>3</v>
      </c>
      <c r="H5" s="15" t="inlineStr">
        <is>
          <t>—</t>
        </is>
      </c>
      <c r="I5" s="15" t="inlineStr">
        <is>
          <t>Med</t>
        </is>
      </c>
      <c r="J5" s="15" t="inlineStr">
        <is>
          <t>Not Started</t>
        </is>
      </c>
    </row>
    <row r="6">
      <c r="A6" s="16" t="inlineStr">
        <is>
          <t>F-02</t>
        </is>
      </c>
      <c r="B6" s="16" t="inlineStr">
        <is>
          <t>P2</t>
        </is>
      </c>
      <c r="C6" s="16" t="inlineStr">
        <is>
          <t>Foundation</t>
        </is>
      </c>
      <c r="D6" s="16" t="inlineStr">
        <is>
          <t>Auth &amp; RBAC</t>
        </is>
      </c>
      <c r="E6" s="16" t="inlineStr">
        <is>
          <t>User CRUD + role assignment</t>
        </is>
      </c>
      <c r="F6" s="16" t="inlineStr">
        <is>
          <t>Admin can create/list/update/deactivate users; role enum enforced server-side.</t>
        </is>
      </c>
      <c r="G6" s="16" t="n">
        <v>2</v>
      </c>
      <c r="H6" s="16" t="inlineStr">
        <is>
          <t>F-01</t>
        </is>
      </c>
      <c r="I6" s="16" t="inlineStr">
        <is>
          <t>Low</t>
        </is>
      </c>
      <c r="J6" s="16" t="inlineStr">
        <is>
          <t>Not Started</t>
        </is>
      </c>
    </row>
    <row r="7">
      <c r="A7" s="15" t="inlineStr">
        <is>
          <t>F-03</t>
        </is>
      </c>
      <c r="B7" s="15" t="inlineStr">
        <is>
          <t>P2</t>
        </is>
      </c>
      <c r="C7" s="15" t="inlineStr">
        <is>
          <t>Foundation</t>
        </is>
      </c>
      <c r="D7" s="15" t="inlineStr">
        <is>
          <t>Auth &amp; RBAC</t>
        </is>
      </c>
      <c r="E7" s="15" t="inlineStr">
        <is>
          <t>Role-based route guards</t>
        </is>
      </c>
      <c r="F7" s="15" t="inlineStr">
        <is>
          <t>withRole(['admin','designer']) decorator on every state-changing route; tests cover 401/403.</t>
        </is>
      </c>
      <c r="G7" s="15" t="n">
        <v>2</v>
      </c>
      <c r="H7" s="15" t="inlineStr">
        <is>
          <t>F-01</t>
        </is>
      </c>
      <c r="I7" s="15" t="inlineStr">
        <is>
          <t>Low</t>
        </is>
      </c>
      <c r="J7" s="15" t="inlineStr">
        <is>
          <t>Not Started</t>
        </is>
      </c>
    </row>
    <row r="8">
      <c r="A8" s="16" t="inlineStr">
        <is>
          <t>F-04</t>
        </is>
      </c>
      <c r="B8" s="16" t="inlineStr">
        <is>
          <t>P2</t>
        </is>
      </c>
      <c r="C8" s="16" t="inlineStr">
        <is>
          <t>Foundation</t>
        </is>
      </c>
      <c r="D8" s="16" t="inlineStr">
        <is>
          <t>Wiring</t>
        </is>
      </c>
      <c r="E8" s="16" t="inlineStr">
        <is>
          <t>Wire Dashboard page to real API</t>
        </is>
      </c>
      <c r="F8" s="16" t="inlineStr">
        <is>
          <t>Dashboard summary endpoint returns counts + sparkline data; mock removed.</t>
        </is>
      </c>
      <c r="G8" s="16" t="n">
        <v>1</v>
      </c>
      <c r="H8" s="16" t="inlineStr">
        <is>
          <t>F-01</t>
        </is>
      </c>
      <c r="I8" s="16" t="inlineStr">
        <is>
          <t>Low</t>
        </is>
      </c>
      <c r="J8" s="16" t="inlineStr">
        <is>
          <t>Not Started</t>
        </is>
      </c>
    </row>
    <row r="9">
      <c r="A9" s="15" t="inlineStr">
        <is>
          <t>F-05</t>
        </is>
      </c>
      <c r="B9" s="15" t="inlineStr">
        <is>
          <t>P2</t>
        </is>
      </c>
      <c r="C9" s="15" t="inlineStr">
        <is>
          <t>Foundation</t>
        </is>
      </c>
      <c r="D9" s="15" t="inlineStr">
        <is>
          <t>Wiring</t>
        </is>
      </c>
      <c r="E9" s="15" t="inlineStr">
        <is>
          <t>Wire Registry page to real API</t>
        </is>
      </c>
      <c r="F9" s="15" t="inlineStr">
        <is>
          <t>GET /api/integrations populates cards; sparklines call /api/runs?since=7d.</t>
        </is>
      </c>
      <c r="G9" s="15" t="n">
        <v>1</v>
      </c>
      <c r="H9" s="15" t="inlineStr">
        <is>
          <t>F-04</t>
        </is>
      </c>
      <c r="I9" s="15" t="inlineStr">
        <is>
          <t>Low</t>
        </is>
      </c>
      <c r="J9" s="15" t="inlineStr">
        <is>
          <t>Not Started</t>
        </is>
      </c>
    </row>
    <row r="10">
      <c r="A10" s="16" t="inlineStr">
        <is>
          <t>F-06</t>
        </is>
      </c>
      <c r="B10" s="16" t="inlineStr">
        <is>
          <t>P2</t>
        </is>
      </c>
      <c r="C10" s="16" t="inlineStr">
        <is>
          <t>Foundation</t>
        </is>
      </c>
      <c r="D10" s="16" t="inlineStr">
        <is>
          <t>Wiring</t>
        </is>
      </c>
      <c r="E10" s="16" t="inlineStr">
        <is>
          <t>Wire Connected page</t>
        </is>
      </c>
      <c r="F10" s="16" t="inlineStr">
        <is>
          <t>GET /api/connected returns groups + schedules; ConnectedPage replaces inline mock.</t>
        </is>
      </c>
      <c r="G10" s="16" t="n">
        <v>1</v>
      </c>
      <c r="H10" s="16" t="inlineStr">
        <is>
          <t>F-05</t>
        </is>
      </c>
      <c r="I10" s="16" t="inlineStr">
        <is>
          <t>Low</t>
        </is>
      </c>
      <c r="J10" s="16" t="inlineStr">
        <is>
          <t>Not Started</t>
        </is>
      </c>
    </row>
    <row r="11">
      <c r="A11" s="15" t="inlineStr">
        <is>
          <t>F-07</t>
        </is>
      </c>
      <c r="B11" s="15" t="inlineStr">
        <is>
          <t>P2</t>
        </is>
      </c>
      <c r="C11" s="15" t="inlineStr">
        <is>
          <t>Foundation</t>
        </is>
      </c>
      <c r="D11" s="15" t="inlineStr">
        <is>
          <t>Wiring</t>
        </is>
      </c>
      <c r="E11" s="15" t="inlineStr">
        <is>
          <t>Wire Vault page</t>
        </is>
      </c>
      <c r="F11" s="15" t="inlineStr">
        <is>
          <t>GET /api/credentials returns metadata + mask; reveal calls /api/credentials/:id with audit log.</t>
        </is>
      </c>
      <c r="G11" s="15" t="n">
        <v>1</v>
      </c>
      <c r="H11" s="15" t="inlineStr">
        <is>
          <t>F-09</t>
        </is>
      </c>
      <c r="I11" s="15" t="inlineStr">
        <is>
          <t>Low</t>
        </is>
      </c>
      <c r="J11" s="15" t="inlineStr">
        <is>
          <t>Not Started</t>
        </is>
      </c>
    </row>
    <row r="12">
      <c r="A12" s="16" t="inlineStr">
        <is>
          <t>F-08</t>
        </is>
      </c>
      <c r="B12" s="16" t="inlineStr">
        <is>
          <t>P2</t>
        </is>
      </c>
      <c r="C12" s="16" t="inlineStr">
        <is>
          <t>Foundation</t>
        </is>
      </c>
      <c r="D12" s="16" t="inlineStr">
        <is>
          <t>Wiring</t>
        </is>
      </c>
      <c r="E12" s="16" t="inlineStr">
        <is>
          <t>Wire Admin page</t>
        </is>
      </c>
      <c r="F12" s="16" t="inlineStr">
        <is>
          <t>Users + Client Apps tabs read /api/users + /api/clients; RBAC respected.</t>
        </is>
      </c>
      <c r="G12" s="16" t="n">
        <v>1</v>
      </c>
      <c r="H12" s="16" t="inlineStr">
        <is>
          <t>F-02</t>
        </is>
      </c>
      <c r="I12" s="16" t="inlineStr">
        <is>
          <t>Low</t>
        </is>
      </c>
      <c r="J12" s="16" t="inlineStr">
        <is>
          <t>Not Started</t>
        </is>
      </c>
    </row>
    <row r="13">
      <c r="A13" s="15" t="inlineStr">
        <is>
          <t>F-09</t>
        </is>
      </c>
      <c r="B13" s="15" t="inlineStr">
        <is>
          <t>P2</t>
        </is>
      </c>
      <c r="C13" s="15" t="inlineStr">
        <is>
          <t>Foundation</t>
        </is>
      </c>
      <c r="D13" s="15" t="inlineStr">
        <is>
          <t>Vault</t>
        </is>
      </c>
      <c r="E13" s="15" t="inlineStr">
        <is>
          <t>Credential GET + decrypt + audit</t>
        </is>
      </c>
      <c r="F13" s="15" t="inlineStr">
        <is>
          <t>GET /api/credentials/:id decrypts and returns; reveal logged with user + IP.</t>
        </is>
      </c>
      <c r="G13" s="15" t="n">
        <v>1</v>
      </c>
      <c r="H13" s="15" t="inlineStr">
        <is>
          <t>F-01</t>
        </is>
      </c>
      <c r="I13" s="15" t="inlineStr">
        <is>
          <t>Low</t>
        </is>
      </c>
      <c r="J13" s="15" t="inlineStr">
        <is>
          <t>Not Started</t>
        </is>
      </c>
    </row>
    <row r="14">
      <c r="A14" s="16" t="inlineStr">
        <is>
          <t>F-10</t>
        </is>
      </c>
      <c r="B14" s="16" t="inlineStr">
        <is>
          <t>P2</t>
        </is>
      </c>
      <c r="C14" s="16" t="inlineStr">
        <is>
          <t>Foundation</t>
        </is>
      </c>
      <c r="D14" s="16" t="inlineStr">
        <is>
          <t>Charts</t>
        </is>
      </c>
      <c r="E14" s="16" t="inlineStr">
        <is>
          <t>Add Recharts and standard chart components</t>
        </is>
      </c>
      <c r="F14" s="16" t="inlineStr">
        <is>
          <t>Recharts installed; Sparkline, BarChart, LineChart components built once and reused.</t>
        </is>
      </c>
      <c r="G14" s="16" t="n">
        <v>1</v>
      </c>
      <c r="H14" s="16" t="inlineStr">
        <is>
          <t>—</t>
        </is>
      </c>
      <c r="I14" s="16" t="inlineStr">
        <is>
          <t>Low</t>
        </is>
      </c>
      <c r="J14" s="16" t="inlineStr">
        <is>
          <t>Not Started</t>
        </is>
      </c>
    </row>
    <row r="15">
      <c r="A15" s="15" t="inlineStr">
        <is>
          <t>CS-01</t>
        </is>
      </c>
      <c r="B15" s="15" t="inlineStr">
        <is>
          <t>P2</t>
        </is>
      </c>
      <c r="C15" s="15" t="inlineStr">
        <is>
          <t>Connector Studio</t>
        </is>
      </c>
      <c r="D15" s="15" t="inlineStr">
        <is>
          <t>Backend</t>
        </is>
      </c>
      <c r="E15" s="15" t="inlineStr">
        <is>
          <t>Connector CRUD endpoints</t>
        </is>
      </c>
      <c r="F15" s="15" t="inlineStr">
        <is>
          <t>POST/GET/PATCH/DELETE /api/connectors with versioning. app.connectors becomes active.</t>
        </is>
      </c>
      <c r="G15" s="15" t="n">
        <v>2</v>
      </c>
      <c r="H15" s="15" t="inlineStr">
        <is>
          <t>F-03</t>
        </is>
      </c>
      <c r="I15" s="15" t="inlineStr">
        <is>
          <t>Med</t>
        </is>
      </c>
      <c r="J15" s="15" t="inlineStr">
        <is>
          <t>Not Started</t>
        </is>
      </c>
    </row>
    <row r="16">
      <c r="A16" s="16" t="inlineStr">
        <is>
          <t>CS-02</t>
        </is>
      </c>
      <c r="B16" s="16" t="inlineStr">
        <is>
          <t>P2</t>
        </is>
      </c>
      <c r="C16" s="16" t="inlineStr">
        <is>
          <t>Connector Studio</t>
        </is>
      </c>
      <c r="D16" s="16" t="inlineStr">
        <is>
          <t>Backend</t>
        </is>
      </c>
      <c r="E16" s="16" t="inlineStr">
        <is>
          <t>OpenAPI parser</t>
        </is>
      </c>
      <c r="F16" s="16" t="inlineStr">
        <is>
          <t>Upload Swagger/OpenAPI 3.0; backend returns endpoints + schemas.</t>
        </is>
      </c>
      <c r="G16" s="16" t="n">
        <v>2</v>
      </c>
      <c r="H16" s="16" t="inlineStr">
        <is>
          <t>CS-01</t>
        </is>
      </c>
      <c r="I16" s="16" t="inlineStr">
        <is>
          <t>Med</t>
        </is>
      </c>
      <c r="J16" s="16" t="inlineStr">
        <is>
          <t>Not Started</t>
        </is>
      </c>
    </row>
    <row r="17">
      <c r="A17" s="15" t="inlineStr">
        <is>
          <t>CS-03</t>
        </is>
      </c>
      <c r="B17" s="15" t="inlineStr">
        <is>
          <t>P2</t>
        </is>
      </c>
      <c r="C17" s="15" t="inlineStr">
        <is>
          <t>Connector Studio</t>
        </is>
      </c>
      <c r="D17" s="15" t="inlineStr">
        <is>
          <t>Backend</t>
        </is>
      </c>
      <c r="E17" s="15" t="inlineStr">
        <is>
          <t>Database schema introspection</t>
        </is>
      </c>
      <c r="F17" s="15" t="inlineStr">
        <is>
          <t>Connection string → list of tables with column types via Drizzle Kit introspect.</t>
        </is>
      </c>
      <c r="G17" s="15" t="n">
        <v>2</v>
      </c>
      <c r="H17" s="15" t="inlineStr">
        <is>
          <t>CS-01</t>
        </is>
      </c>
      <c r="I17" s="15" t="inlineStr">
        <is>
          <t>Med</t>
        </is>
      </c>
      <c r="J17" s="15" t="inlineStr">
        <is>
          <t>Not Started</t>
        </is>
      </c>
    </row>
    <row r="18">
      <c r="A18" s="16" t="inlineStr">
        <is>
          <t>CS-04</t>
        </is>
      </c>
      <c r="B18" s="16" t="inlineStr">
        <is>
          <t>P2</t>
        </is>
      </c>
      <c r="C18" s="16" t="inlineStr">
        <is>
          <t>Connector Studio</t>
        </is>
      </c>
      <c r="D18" s="16" t="inlineStr">
        <is>
          <t>Backend</t>
        </is>
      </c>
      <c r="E18" s="16" t="inlineStr">
        <is>
          <t>Connector test + publish</t>
        </is>
      </c>
      <c r="F18" s="16" t="inlineStr">
        <is>
          <t>POST /test runs sample call; POST /publish gated on success; new version created.</t>
        </is>
      </c>
      <c r="G18" s="16" t="n">
        <v>1</v>
      </c>
      <c r="H18" s="16" t="inlineStr">
        <is>
          <t>CS-02</t>
        </is>
      </c>
      <c r="I18" s="16" t="inlineStr">
        <is>
          <t>Low</t>
        </is>
      </c>
      <c r="J18" s="16" t="inlineStr">
        <is>
          <t>Not Started</t>
        </is>
      </c>
    </row>
    <row r="19">
      <c r="A19" s="15" t="inlineStr">
        <is>
          <t>CS-05</t>
        </is>
      </c>
      <c r="B19" s="15" t="inlineStr">
        <is>
          <t>P2</t>
        </is>
      </c>
      <c r="C19" s="15" t="inlineStr">
        <is>
          <t>Connector Studio</t>
        </is>
      </c>
      <c r="D19" s="15" t="inlineStr">
        <is>
          <t>Frontend</t>
        </is>
      </c>
      <c r="E19" s="15" t="inlineStr">
        <is>
          <t>Studio UI wire-up</t>
        </is>
      </c>
      <c r="F19" s="15" t="inlineStr">
        <is>
          <t>Test Connection + Publish buttons enabled. Form posts to /api/connectors. Versions visible.</t>
        </is>
      </c>
      <c r="G19" s="15" t="n">
        <v>2</v>
      </c>
      <c r="H19" s="15" t="inlineStr">
        <is>
          <t>CS-04</t>
        </is>
      </c>
      <c r="I19" s="15" t="inlineStr">
        <is>
          <t>Low</t>
        </is>
      </c>
      <c r="J19" s="15" t="inlineStr">
        <is>
          <t>Not Started</t>
        </is>
      </c>
    </row>
    <row r="20">
      <c r="A20" s="16" t="inlineStr">
        <is>
          <t>CS-06</t>
        </is>
      </c>
      <c r="B20" s="16" t="inlineStr">
        <is>
          <t>P2</t>
        </is>
      </c>
      <c r="C20" s="16" t="inlineStr">
        <is>
          <t>Connector Studio</t>
        </is>
      </c>
      <c r="D20" s="16" t="inlineStr">
        <is>
          <t>Frontend</t>
        </is>
      </c>
      <c r="E20" s="16" t="inlineStr">
        <is>
          <t>Entity modeller drag-drop</t>
        </is>
      </c>
      <c r="F20" s="16" t="inlineStr">
        <is>
          <t>Group raw fields into entities; rename labels; persist entity_definitions.</t>
        </is>
      </c>
      <c r="G20" s="16" t="n">
        <v>2</v>
      </c>
      <c r="H20" s="16" t="inlineStr">
        <is>
          <t>CS-05</t>
        </is>
      </c>
      <c r="I20" s="16" t="inlineStr">
        <is>
          <t>Med</t>
        </is>
      </c>
      <c r="J20" s="16" t="inlineStr">
        <is>
          <t>Not Started</t>
        </is>
      </c>
    </row>
    <row r="21">
      <c r="A21" s="15" t="inlineStr">
        <is>
          <t>M-01</t>
        </is>
      </c>
      <c r="B21" s="15" t="inlineStr">
        <is>
          <t>P2</t>
        </is>
      </c>
      <c r="C21" s="15" t="inlineStr">
        <is>
          <t>Mapping Engine</t>
        </is>
      </c>
      <c r="D21" s="15" t="inlineStr">
        <is>
          <t>AI</t>
        </is>
      </c>
      <c r="E21" s="15" t="inlineStr">
        <is>
          <t>AI Auto-Map service (Claude API)</t>
        </is>
      </c>
      <c r="F21" s="15" t="inlineStr">
        <is>
          <t>POST /api/integrations/:id/mappings/auto-map returns suggestions + confidence ≥70% on test set.</t>
        </is>
      </c>
      <c r="G21" s="15" t="n">
        <v>3</v>
      </c>
      <c r="H21" s="15" t="inlineStr">
        <is>
          <t>F-10</t>
        </is>
      </c>
      <c r="I21" s="15" t="inlineStr">
        <is>
          <t>Med</t>
        </is>
      </c>
      <c r="J21" s="15" t="inlineStr">
        <is>
          <t>Not Started</t>
        </is>
      </c>
    </row>
    <row r="22">
      <c r="A22" s="16" t="inlineStr">
        <is>
          <t>M-02</t>
        </is>
      </c>
      <c r="B22" s="16" t="inlineStr">
        <is>
          <t>P2</t>
        </is>
      </c>
      <c r="C22" s="16" t="inlineStr">
        <is>
          <t>Mapping Engine</t>
        </is>
      </c>
      <c r="D22" s="16" t="inlineStr">
        <is>
          <t>AI</t>
        </is>
      </c>
      <c r="E22" s="16" t="inlineStr">
        <is>
          <t>NL transformation generator</t>
        </is>
      </c>
      <c r="F22" s="16" t="inlineStr">
        <is>
          <t>Operator types 'convert ISO date to dd/mm/yyyy'; backend returns JS function.</t>
        </is>
      </c>
      <c r="G22" s="16" t="n">
        <v>2</v>
      </c>
      <c r="H22" s="16" t="inlineStr">
        <is>
          <t>M-01</t>
        </is>
      </c>
      <c r="I22" s="16" t="inlineStr">
        <is>
          <t>Med</t>
        </is>
      </c>
      <c r="J22" s="16" t="inlineStr">
        <is>
          <t>Not Started</t>
        </is>
      </c>
    </row>
    <row r="23">
      <c r="A23" s="15" t="inlineStr">
        <is>
          <t>M-03</t>
        </is>
      </c>
      <c r="B23" s="15" t="inlineStr">
        <is>
          <t>P2</t>
        </is>
      </c>
      <c r="C23" s="15" t="inlineStr">
        <is>
          <t>Mapping Engine</t>
        </is>
      </c>
      <c r="D23" s="15" t="inlineStr">
        <is>
          <t>Backend</t>
        </is>
      </c>
      <c r="E23" s="15" t="inlineStr">
        <is>
          <t>JS sandbox (QuickJS) for transforms</t>
        </is>
      </c>
      <c r="F23" s="15" t="inlineStr">
        <is>
          <t>Transformations run in sandbox; CPU + memory limits; no host access.</t>
        </is>
      </c>
      <c r="G23" s="15" t="n">
        <v>2</v>
      </c>
      <c r="H23" s="15" t="inlineStr">
        <is>
          <t>M-02</t>
        </is>
      </c>
      <c r="I23" s="15" t="inlineStr">
        <is>
          <t>High</t>
        </is>
      </c>
      <c r="J23" s="15" t="inlineStr">
        <is>
          <t>Not Started</t>
        </is>
      </c>
    </row>
    <row r="24">
      <c r="A24" s="16" t="inlineStr">
        <is>
          <t>M-04</t>
        </is>
      </c>
      <c r="B24" s="16" t="inlineStr">
        <is>
          <t>P2</t>
        </is>
      </c>
      <c r="C24" s="16" t="inlineStr">
        <is>
          <t>Mapping Engine</t>
        </is>
      </c>
      <c r="D24" s="16" t="inlineStr">
        <is>
          <t>Frontend</t>
        </is>
      </c>
      <c r="E24" s="16" t="inlineStr">
        <is>
          <t>Canvas wire-up to real API</t>
        </is>
      </c>
      <c r="F24" s="16" t="inlineStr">
        <is>
          <t>AI Auto-Map button calls real endpoint; lines colour-state machine; mappings persist.</t>
        </is>
      </c>
      <c r="G24" s="16" t="n">
        <v>2</v>
      </c>
      <c r="H24" s="16" t="inlineStr">
        <is>
          <t>M-01</t>
        </is>
      </c>
      <c r="I24" s="16" t="inlineStr">
        <is>
          <t>Low</t>
        </is>
      </c>
      <c r="J24" s="16" t="inlineStr">
        <is>
          <t>Not Started</t>
        </is>
      </c>
    </row>
    <row r="25">
      <c r="A25" s="15" t="inlineStr">
        <is>
          <t>M-05</t>
        </is>
      </c>
      <c r="B25" s="15" t="inlineStr">
        <is>
          <t>P2</t>
        </is>
      </c>
      <c r="C25" s="15" t="inlineStr">
        <is>
          <t>Mapping Engine</t>
        </is>
      </c>
      <c r="D25" s="15" t="inlineStr">
        <is>
          <t>Frontend</t>
        </is>
      </c>
      <c r="E25" s="15" t="inlineStr">
        <is>
          <t>Mapping validation UI</t>
        </is>
      </c>
      <c r="F25" s="15" t="inlineStr">
        <is>
          <t>Validate button checks types + required + cycles; checklist with pass/fail.</t>
        </is>
      </c>
      <c r="G25" s="15" t="n">
        <v>1</v>
      </c>
      <c r="H25" s="15" t="inlineStr">
        <is>
          <t>M-04</t>
        </is>
      </c>
      <c r="I25" s="15" t="inlineStr">
        <is>
          <t>Low</t>
        </is>
      </c>
      <c r="J25" s="15" t="inlineStr">
        <is>
          <t>Not Started</t>
        </is>
      </c>
    </row>
    <row r="26">
      <c r="A26" s="16" t="inlineStr">
        <is>
          <t>MN-01</t>
        </is>
      </c>
      <c r="B26" s="16" t="inlineStr">
        <is>
          <t>P2</t>
        </is>
      </c>
      <c r="C26" s="16" t="inlineStr">
        <is>
          <t>Monitoring</t>
        </is>
      </c>
      <c r="D26" s="16" t="inlineStr">
        <is>
          <t>Backend</t>
        </is>
      </c>
      <c r="E26" s="16" t="inlineStr">
        <is>
          <t>Activate run_messages writes</t>
        </is>
      </c>
      <c r="F26" s="16" t="inlineStr">
        <is>
          <t>Every push/pull writes a row to run_messages; payload hash + status.</t>
        </is>
      </c>
      <c r="G26" s="16" t="n">
        <v>1</v>
      </c>
      <c r="H26" s="16" t="inlineStr">
        <is>
          <t>F-03</t>
        </is>
      </c>
      <c r="I26" s="16" t="inlineStr">
        <is>
          <t>Low</t>
        </is>
      </c>
      <c r="J26" s="16" t="inlineStr">
        <is>
          <t>Not Started</t>
        </is>
      </c>
    </row>
    <row r="27">
      <c r="A27" s="15" t="inlineStr">
        <is>
          <t>MN-02</t>
        </is>
      </c>
      <c r="B27" s="15" t="inlineStr">
        <is>
          <t>P2</t>
        </is>
      </c>
      <c r="C27" s="15" t="inlineStr">
        <is>
          <t>Monitoring</t>
        </is>
      </c>
      <c r="D27" s="15" t="inlineStr">
        <is>
          <t>Backend</t>
        </is>
      </c>
      <c r="E27" s="15" t="inlineStr">
        <is>
          <t>Real-time stream endpoint</t>
        </is>
      </c>
      <c r="F27" s="15" t="inlineStr">
        <is>
          <t>GET /api/messages/stream (SSE) or polling; Trading Console subscribes.</t>
        </is>
      </c>
      <c r="G27" s="15" t="n">
        <v>1</v>
      </c>
      <c r="H27" s="15" t="inlineStr">
        <is>
          <t>MN-01</t>
        </is>
      </c>
      <c r="I27" s="15" t="inlineStr">
        <is>
          <t>Med</t>
        </is>
      </c>
      <c r="J27" s="15" t="inlineStr">
        <is>
          <t>Not Started</t>
        </is>
      </c>
    </row>
    <row r="28">
      <c r="A28" s="16" t="inlineStr">
        <is>
          <t>MN-03</t>
        </is>
      </c>
      <c r="B28" s="16" t="inlineStr">
        <is>
          <t>P2</t>
        </is>
      </c>
      <c r="C28" s="16" t="inlineStr">
        <is>
          <t>Monitoring</t>
        </is>
      </c>
      <c r="D28" s="16" t="inlineStr">
        <is>
          <t>Frontend</t>
        </is>
      </c>
      <c r="E28" s="16" t="inlineStr">
        <is>
          <t>Trading Network Console wire-up</t>
        </is>
      </c>
      <c r="F28" s="16" t="inlineStr">
        <is>
          <t>Live table; expandable rows show payload + mapping trace; pause button freezes view.</t>
        </is>
      </c>
      <c r="G28" s="16" t="n">
        <v>2</v>
      </c>
      <c r="H28" s="16" t="inlineStr">
        <is>
          <t>MN-02</t>
        </is>
      </c>
      <c r="I28" s="16" t="inlineStr">
        <is>
          <t>Low</t>
        </is>
      </c>
      <c r="J28" s="16" t="inlineStr">
        <is>
          <t>Not Started</t>
        </is>
      </c>
    </row>
    <row r="29">
      <c r="A29" s="15" t="inlineStr">
        <is>
          <t>MN-04</t>
        </is>
      </c>
      <c r="B29" s="15" t="inlineStr">
        <is>
          <t>P2</t>
        </is>
      </c>
      <c r="C29" s="15" t="inlineStr">
        <is>
          <t>Monitoring</t>
        </is>
      </c>
      <c r="D29" s="15" t="inlineStr">
        <is>
          <t>Backend</t>
        </is>
      </c>
      <c r="E29" s="15" t="inlineStr">
        <is>
          <t>Health Dashboard summary endpoints</t>
        </is>
      </c>
      <c r="F29" s="15" t="inlineStr">
        <is>
          <t>GET /api/dashboard/{summary,volume,errors-trend,client-tiers}; &lt;500ms via materialised views.</t>
        </is>
      </c>
      <c r="G29" s="15" t="n">
        <v>2</v>
      </c>
      <c r="H29" s="15" t="inlineStr">
        <is>
          <t>F-03</t>
        </is>
      </c>
      <c r="I29" s="15" t="inlineStr">
        <is>
          <t>Med</t>
        </is>
      </c>
      <c r="J29" s="15" t="inlineStr">
        <is>
          <t>Not Started</t>
        </is>
      </c>
    </row>
    <row r="30">
      <c r="A30" s="16" t="inlineStr">
        <is>
          <t>MN-05</t>
        </is>
      </c>
      <c r="B30" s="16" t="inlineStr">
        <is>
          <t>P2</t>
        </is>
      </c>
      <c r="C30" s="16" t="inlineStr">
        <is>
          <t>Monitoring</t>
        </is>
      </c>
      <c r="D30" s="16" t="inlineStr">
        <is>
          <t>Frontend</t>
        </is>
      </c>
      <c r="E30" s="16" t="inlineStr">
        <is>
          <t>Health Dashboard charts wire-up</t>
        </is>
      </c>
      <c r="F30" s="16" t="inlineStr">
        <is>
          <t>DashboardPage uses Recharts components; KPI tiles + volume + trend.</t>
        </is>
      </c>
      <c r="G30" s="16" t="n">
        <v>1</v>
      </c>
      <c r="H30" s="16" t="inlineStr">
        <is>
          <t>MN-04, F-10</t>
        </is>
      </c>
      <c r="I30" s="16" t="inlineStr">
        <is>
          <t>Low</t>
        </is>
      </c>
      <c r="J30" s="16" t="inlineStr">
        <is>
          <t>Not Started</t>
        </is>
      </c>
    </row>
    <row r="31">
      <c r="A31" s="15" t="inlineStr">
        <is>
          <t>AL-01</t>
        </is>
      </c>
      <c r="B31" s="15" t="inlineStr">
        <is>
          <t>P2</t>
        </is>
      </c>
      <c r="C31" s="15" t="inlineStr">
        <is>
          <t>Alerts</t>
        </is>
      </c>
      <c r="D31" s="15" t="inlineStr">
        <is>
          <t>Backend</t>
        </is>
      </c>
      <c r="E31" s="15" t="inlineStr">
        <is>
          <t>AlertService.create() + DB writes</t>
        </is>
      </c>
      <c r="F31" s="15" t="inlineStr">
        <is>
          <t>Failure paths in workers call AlertService; app.alerts populated.</t>
        </is>
      </c>
      <c r="G31" s="15" t="n">
        <v>1</v>
      </c>
      <c r="H31" s="15" t="inlineStr">
        <is>
          <t>F-03</t>
        </is>
      </c>
      <c r="I31" s="15" t="inlineStr">
        <is>
          <t>Low</t>
        </is>
      </c>
      <c r="J31" s="15" t="inlineStr">
        <is>
          <t>Not Started</t>
        </is>
      </c>
    </row>
    <row r="32">
      <c r="A32" s="16" t="inlineStr">
        <is>
          <t>AL-02</t>
        </is>
      </c>
      <c r="B32" s="16" t="inlineStr">
        <is>
          <t>P2</t>
        </is>
      </c>
      <c r="C32" s="16" t="inlineStr">
        <is>
          <t>Alerts</t>
        </is>
      </c>
      <c r="D32" s="16" t="inlineStr">
        <is>
          <t>Backend</t>
        </is>
      </c>
      <c r="E32" s="16" t="inlineStr">
        <is>
          <t>alert-dispatcher worker</t>
        </is>
      </c>
      <c r="F32" s="16" t="inlineStr">
        <is>
          <t>Worker reads queue; routes to in-app + email per rule.</t>
        </is>
      </c>
      <c r="G32" s="16" t="n">
        <v>1</v>
      </c>
      <c r="H32" s="16" t="inlineStr">
        <is>
          <t>AL-01</t>
        </is>
      </c>
      <c r="I32" s="16" t="inlineStr">
        <is>
          <t>Low</t>
        </is>
      </c>
      <c r="J32" s="16" t="inlineStr">
        <is>
          <t>Not Started</t>
        </is>
      </c>
    </row>
    <row r="33">
      <c r="A33" s="15" t="inlineStr">
        <is>
          <t>AL-03</t>
        </is>
      </c>
      <c r="B33" s="15" t="inlineStr">
        <is>
          <t>P2</t>
        </is>
      </c>
      <c r="C33" s="15" t="inlineStr">
        <is>
          <t>Alerts</t>
        </is>
      </c>
      <c r="D33" s="15" t="inlineStr">
        <is>
          <t>Backend</t>
        </is>
      </c>
      <c r="E33" s="15" t="inlineStr">
        <is>
          <t>Email transport (nodemailer + SMTP)</t>
        </is>
      </c>
      <c r="F33" s="15" t="inlineStr">
        <is>
          <t>SMTP env config; immediate critical, daily digest warnings.</t>
        </is>
      </c>
      <c r="G33" s="15" t="n">
        <v>1</v>
      </c>
      <c r="H33" s="15" t="inlineStr">
        <is>
          <t>AL-02</t>
        </is>
      </c>
      <c r="I33" s="15" t="inlineStr">
        <is>
          <t>Low</t>
        </is>
      </c>
      <c r="J33" s="15" t="inlineStr">
        <is>
          <t>Not Started</t>
        </is>
      </c>
    </row>
    <row r="34">
      <c r="A34" s="16" t="inlineStr">
        <is>
          <t>AL-04</t>
        </is>
      </c>
      <c r="B34" s="16" t="inlineStr">
        <is>
          <t>P2</t>
        </is>
      </c>
      <c r="C34" s="16" t="inlineStr">
        <is>
          <t>Alerts</t>
        </is>
      </c>
      <c r="D34" s="16" t="inlineStr">
        <is>
          <t>Frontend</t>
        </is>
      </c>
      <c r="E34" s="16" t="inlineStr">
        <is>
          <t>AlertsPage wire-up</t>
        </is>
      </c>
      <c r="F34" s="16" t="inlineStr">
        <is>
          <t>GET /api/alerts; acknowledge/escalate buttons hit real endpoints.</t>
        </is>
      </c>
      <c r="G34" s="16" t="n">
        <v>1</v>
      </c>
      <c r="H34" s="16" t="inlineStr">
        <is>
          <t>AL-01</t>
        </is>
      </c>
      <c r="I34" s="16" t="inlineStr">
        <is>
          <t>Low</t>
        </is>
      </c>
      <c r="J34" s="16" t="inlineStr">
        <is>
          <t>Not Started</t>
        </is>
      </c>
    </row>
    <row r="35">
      <c r="A35" s="15" t="inlineStr">
        <is>
          <t>AL-05</t>
        </is>
      </c>
      <c r="B35" s="15" t="inlineStr">
        <is>
          <t>P2</t>
        </is>
      </c>
      <c r="C35" s="15" t="inlineStr">
        <is>
          <t>Alerts</t>
        </is>
      </c>
      <c r="D35" s="15" t="inlineStr">
        <is>
          <t>Backend</t>
        </is>
      </c>
      <c r="E35" s="15" t="inlineStr">
        <is>
          <t>Threshold-based alerts</t>
        </is>
      </c>
      <c r="F35" s="15" t="inlineStr">
        <is>
          <t>Per-adapter or global thresholds; cron evaluates daily.</t>
        </is>
      </c>
      <c r="G35" s="15" t="n">
        <v>1</v>
      </c>
      <c r="H35" s="15" t="inlineStr">
        <is>
          <t>AL-04</t>
        </is>
      </c>
      <c r="I35" s="15" t="inlineStr">
        <is>
          <t>Low</t>
        </is>
      </c>
      <c r="J35" s="15" t="inlineStr">
        <is>
          <t>Not Started</t>
        </is>
      </c>
    </row>
    <row r="36">
      <c r="A36" s="16" t="inlineStr">
        <is>
          <t>MC-01</t>
        </is>
      </c>
      <c r="B36" s="16" t="inlineStr">
        <is>
          <t>P2</t>
        </is>
      </c>
      <c r="C36" s="16" t="inlineStr">
        <is>
          <t>Master Catalog</t>
        </is>
      </c>
      <c r="D36" s="16" t="inlineStr">
        <is>
          <t>Backend</t>
        </is>
      </c>
      <c r="E36" s="16" t="inlineStr">
        <is>
          <t>entities + entity_fields tables + repo</t>
        </is>
      </c>
      <c r="F36" s="16" t="inlineStr">
        <is>
          <t>New tables, repository pattern, backfill from existing fieldMappings.</t>
        </is>
      </c>
      <c r="G36" s="16" t="n">
        <v>1</v>
      </c>
      <c r="H36" s="16" t="inlineStr">
        <is>
          <t>F-03</t>
        </is>
      </c>
      <c r="I36" s="16" t="inlineStr">
        <is>
          <t>Low</t>
        </is>
      </c>
      <c r="J36" s="16" t="inlineStr">
        <is>
          <t>Not Started</t>
        </is>
      </c>
    </row>
    <row r="37">
      <c r="A37" s="15" t="inlineStr">
        <is>
          <t>MC-02</t>
        </is>
      </c>
      <c r="B37" s="15" t="inlineStr">
        <is>
          <t>P2</t>
        </is>
      </c>
      <c r="C37" s="15" t="inlineStr">
        <is>
          <t>Master Catalog</t>
        </is>
      </c>
      <c r="D37" s="15" t="inlineStr">
        <is>
          <t>Backend</t>
        </is>
      </c>
      <c r="E37" s="15" t="inlineStr">
        <is>
          <t>Entity tree + usage endpoints</t>
        </is>
      </c>
      <c r="F37" s="15" t="inlineStr">
        <is>
          <t>GET /api/entities returns tree; GET /api/entities/:id/usage returns adapter list.</t>
        </is>
      </c>
      <c r="G37" s="15" t="n">
        <v>1</v>
      </c>
      <c r="H37" s="15" t="inlineStr">
        <is>
          <t>MC-01</t>
        </is>
      </c>
      <c r="I37" s="15" t="inlineStr">
        <is>
          <t>Low</t>
        </is>
      </c>
      <c r="J37" s="15" t="inlineStr">
        <is>
          <t>Not Started</t>
        </is>
      </c>
    </row>
    <row r="38">
      <c r="A38" s="16" t="inlineStr">
        <is>
          <t>MC-03</t>
        </is>
      </c>
      <c r="B38" s="16" t="inlineStr">
        <is>
          <t>P2</t>
        </is>
      </c>
      <c r="C38" s="16" t="inlineStr">
        <is>
          <t>Master Catalog</t>
        </is>
      </c>
      <c r="D38" s="16" t="inlineStr">
        <is>
          <t>Frontend</t>
        </is>
      </c>
      <c r="E38" s="16" t="inlineStr">
        <is>
          <t>CatalogPage wire-up</t>
        </is>
      </c>
      <c r="F38" s="16" t="inlineStr">
        <is>
          <t>Tree navigation; field usage bars; cross-reference links work.</t>
        </is>
      </c>
      <c r="G38" s="16" t="n">
        <v>2</v>
      </c>
      <c r="H38" s="16" t="inlineStr">
        <is>
          <t>MC-02</t>
        </is>
      </c>
      <c r="I38" s="16" t="inlineStr">
        <is>
          <t>Low</t>
        </is>
      </c>
      <c r="J38" s="16" t="inlineStr">
        <is>
          <t>Not Started</t>
        </is>
      </c>
    </row>
    <row r="39">
      <c r="A39" s="15" t="inlineStr">
        <is>
          <t>HS-01</t>
        </is>
      </c>
      <c r="B39" s="15" t="inlineStr">
        <is>
          <t>P2</t>
        </is>
      </c>
      <c r="C39" s="15" t="inlineStr">
        <is>
          <t>Help System</t>
        </is>
      </c>
      <c r="D39" s="15" t="inlineStr">
        <is>
          <t>Backend</t>
        </is>
      </c>
      <c r="E39" s="15" t="inlineStr">
        <is>
          <t>Markdown content + lunr.js index</t>
        </is>
      </c>
      <c r="F39" s="15" t="inlineStr">
        <is>
          <t>/help/*.md authored; build-time index generated.</t>
        </is>
      </c>
      <c r="G39" s="15" t="n">
        <v>2</v>
      </c>
      <c r="H39" s="15" t="inlineStr">
        <is>
          <t>—</t>
        </is>
      </c>
      <c r="I39" s="15" t="inlineStr">
        <is>
          <t>Low</t>
        </is>
      </c>
      <c r="J39" s="15" t="inlineStr">
        <is>
          <t>Not Started</t>
        </is>
      </c>
    </row>
    <row r="40">
      <c r="A40" s="16" t="inlineStr">
        <is>
          <t>HS-02</t>
        </is>
      </c>
      <c r="B40" s="16" t="inlineStr">
        <is>
          <t>P2</t>
        </is>
      </c>
      <c r="C40" s="16" t="inlineStr">
        <is>
          <t>Help System</t>
        </is>
      </c>
      <c r="D40" s="16" t="inlineStr">
        <is>
          <t>Frontend</t>
        </is>
      </c>
      <c r="E40" s="16" t="inlineStr">
        <is>
          <t>HelpPanel wire-up + search</t>
        </is>
      </c>
      <c r="F40" s="16" t="inlineStr">
        <is>
          <t>'?' icon opens panel pre-filtered to current screen; search works.</t>
        </is>
      </c>
      <c r="G40" s="16" t="n">
        <v>1</v>
      </c>
      <c r="H40" s="16" t="inlineStr">
        <is>
          <t>HS-01</t>
        </is>
      </c>
      <c r="I40" s="16" t="inlineStr">
        <is>
          <t>Low</t>
        </is>
      </c>
      <c r="J40" s="16" t="inlineStr">
        <is>
          <t>Not Started</t>
        </is>
      </c>
    </row>
    <row r="41">
      <c r="A41" s="15" t="inlineStr">
        <is>
          <t>HS-03</t>
        </is>
      </c>
      <c r="B41" s="15" t="inlineStr">
        <is>
          <t>P2</t>
        </is>
      </c>
      <c r="C41" s="15" t="inlineStr">
        <is>
          <t>Help System</t>
        </is>
      </c>
      <c r="D41" s="15" t="inlineStr">
        <is>
          <t>Frontend</t>
        </is>
      </c>
      <c r="E41" s="15" t="inlineStr">
        <is>
          <t>Tooltips + first-time walkthroughs</t>
        </is>
      </c>
      <c r="F41" s="15" t="inlineStr">
        <is>
          <t>shepherd.js walkthrough on first visit per major screen; tooltips on icons.</t>
        </is>
      </c>
      <c r="G41" s="15" t="n">
        <v>2</v>
      </c>
      <c r="H41" s="15" t="inlineStr">
        <is>
          <t>HS-02</t>
        </is>
      </c>
      <c r="I41" s="15" t="inlineStr">
        <is>
          <t>Low</t>
        </is>
      </c>
      <c r="J41" s="15" t="inlineStr">
        <is>
          <t>Not Started</t>
        </is>
      </c>
    </row>
    <row r="42">
      <c r="A42" s="16" t="inlineStr">
        <is>
          <t>NS-01</t>
        </is>
      </c>
      <c r="B42" s="16" t="inlineStr">
        <is>
          <t>P2</t>
        </is>
      </c>
      <c r="C42" s="16" t="inlineStr">
        <is>
          <t>New Sources</t>
        </is>
      </c>
      <c r="D42" s="16" t="inlineStr">
        <is>
          <t>Connector</t>
        </is>
      </c>
      <c r="E42" s="16" t="inlineStr">
        <is>
          <t>PostgreSQL source connector</t>
        </is>
      </c>
      <c r="F42" s="16" t="inlineStr">
        <is>
          <t>Schema introspection + parametrised SELECT query; entity output matches Jira format.</t>
        </is>
      </c>
      <c r="G42" s="16" t="n">
        <v>2</v>
      </c>
      <c r="H42" s="16" t="inlineStr">
        <is>
          <t>CS-03</t>
        </is>
      </c>
      <c r="I42" s="16" t="inlineStr">
        <is>
          <t>Med</t>
        </is>
      </c>
      <c r="J42" s="16" t="inlineStr">
        <is>
          <t>Not Started</t>
        </is>
      </c>
    </row>
    <row r="43">
      <c r="A43" s="15" t="inlineStr">
        <is>
          <t>NS-02</t>
        </is>
      </c>
      <c r="B43" s="15" t="inlineStr">
        <is>
          <t>P2</t>
        </is>
      </c>
      <c r="C43" s="15" t="inlineStr">
        <is>
          <t>New Sources</t>
        </is>
      </c>
      <c r="D43" s="15" t="inlineStr">
        <is>
          <t>Connector</t>
        </is>
      </c>
      <c r="E43" s="15" t="inlineStr">
        <is>
          <t>Excel/CSV source connector</t>
        </is>
      </c>
      <c r="F43" s="15" t="inlineStr">
        <is>
          <t>Upload or SFTP/SharePoint location; sheet/range selection; type inference.</t>
        </is>
      </c>
      <c r="G43" s="15" t="n">
        <v>1</v>
      </c>
      <c r="H43" s="15" t="inlineStr">
        <is>
          <t>CS-01</t>
        </is>
      </c>
      <c r="I43" s="15" t="inlineStr">
        <is>
          <t>Low</t>
        </is>
      </c>
      <c r="J43" s="15" t="inlineStr">
        <is>
          <t>Not Started</t>
        </is>
      </c>
    </row>
    <row r="44">
      <c r="A44" s="16" t="inlineStr">
        <is>
          <t>NS-03</t>
        </is>
      </c>
      <c r="B44" s="16" t="inlineStr">
        <is>
          <t>P2</t>
        </is>
      </c>
      <c r="C44" s="16" t="inlineStr">
        <is>
          <t>New Sources</t>
        </is>
      </c>
      <c r="D44" s="16" t="inlineStr">
        <is>
          <t>Connector</t>
        </is>
      </c>
      <c r="E44" s="16" t="inlineStr">
        <is>
          <t>Dynamics 365 source connector</t>
        </is>
      </c>
      <c r="F44" s="16" t="inlineStr">
        <is>
          <t>OData/Web API + Azure AD OAuth2; entity discovery.</t>
        </is>
      </c>
      <c r="G44" s="16" t="n">
        <v>3</v>
      </c>
      <c r="H44" s="16" t="inlineStr">
        <is>
          <t>CS-02</t>
        </is>
      </c>
      <c r="I44" s="16" t="inlineStr">
        <is>
          <t>Med</t>
        </is>
      </c>
      <c r="J44" s="16" t="inlineStr">
        <is>
          <t>Not Started</t>
        </is>
      </c>
    </row>
    <row r="45">
      <c r="A45" s="15" t="inlineStr">
        <is>
          <t>NS-04</t>
        </is>
      </c>
      <c r="B45" s="15" t="inlineStr">
        <is>
          <t>P2</t>
        </is>
      </c>
      <c r="C45" s="15" t="inlineStr">
        <is>
          <t>New Sources</t>
        </is>
      </c>
      <c r="D45" s="15" t="inlineStr">
        <is>
          <t>Connector</t>
        </is>
      </c>
      <c r="E45" s="15" t="inlineStr">
        <is>
          <t>Keka source connector</t>
        </is>
      </c>
      <c r="F45" s="15" t="inlineStr">
        <is>
          <t>REST API + API Key; employee/leave entity templates.</t>
        </is>
      </c>
      <c r="G45" s="15" t="n">
        <v>2</v>
      </c>
      <c r="H45" s="15" t="inlineStr">
        <is>
          <t>CS-02</t>
        </is>
      </c>
      <c r="I45" s="15" t="inlineStr">
        <is>
          <t>Low</t>
        </is>
      </c>
      <c r="J45" s="15" t="inlineStr">
        <is>
          <t>Not Started</t>
        </is>
      </c>
    </row>
    <row r="46">
      <c r="A46" s="16" t="inlineStr">
        <is>
          <t>NS-05</t>
        </is>
      </c>
      <c r="B46" s="16" t="inlineStr">
        <is>
          <t>P2</t>
        </is>
      </c>
      <c r="C46" s="16" t="inlineStr">
        <is>
          <t>New Sources</t>
        </is>
      </c>
      <c r="D46" s="16" t="inlineStr">
        <is>
          <t>Connector</t>
        </is>
      </c>
      <c r="E46" s="16" t="inlineStr">
        <is>
          <t>TARA source connector</t>
        </is>
      </c>
      <c r="F46" s="16" t="inlineStr">
        <is>
          <t>REST API or scraping fallback; project/test entity templates.</t>
        </is>
      </c>
      <c r="G46" s="16" t="n">
        <v>2</v>
      </c>
      <c r="H46" s="16" t="inlineStr">
        <is>
          <t>CS-02</t>
        </is>
      </c>
      <c r="I46" s="16" t="inlineStr">
        <is>
          <t>Med</t>
        </is>
      </c>
      <c r="J46" s="16" t="inlineStr">
        <is>
          <t>Not Started</t>
        </is>
      </c>
    </row>
    <row r="47">
      <c r="A47" s="15" t="inlineStr">
        <is>
          <t>ND-01</t>
        </is>
      </c>
      <c r="B47" s="15" t="inlineStr">
        <is>
          <t>P2</t>
        </is>
      </c>
      <c r="C47" s="15" t="inlineStr">
        <is>
          <t>New Destinations</t>
        </is>
      </c>
      <c r="D47" s="15" t="inlineStr">
        <is>
          <t>Connector</t>
        </is>
      </c>
      <c r="E47" s="15" t="inlineStr">
        <is>
          <t>TFS / Azure DevOps destination</t>
        </is>
      </c>
      <c r="F47" s="15" t="inlineStr">
        <is>
          <t>REST API + PAT/OAuth; create work items; mapping template for Jira issues.</t>
        </is>
      </c>
      <c r="G47" s="15" t="n">
        <v>3</v>
      </c>
      <c r="H47" s="15" t="inlineStr">
        <is>
          <t>CS-02</t>
        </is>
      </c>
      <c r="I47" s="15" t="inlineStr">
        <is>
          <t>Med</t>
        </is>
      </c>
      <c r="J47" s="15" t="inlineStr">
        <is>
          <t>Not Started</t>
        </is>
      </c>
    </row>
    <row r="48">
      <c r="A48" s="16" t="inlineStr">
        <is>
          <t>ND-02</t>
        </is>
      </c>
      <c r="B48" s="16" t="inlineStr">
        <is>
          <t>P2</t>
        </is>
      </c>
      <c r="C48" s="16" t="inlineStr">
        <is>
          <t>New Destinations</t>
        </is>
      </c>
      <c r="D48" s="16" t="inlineStr">
        <is>
          <t>Connector</t>
        </is>
      </c>
      <c r="E48" s="16" t="inlineStr">
        <is>
          <t>Holiday Tracker destination</t>
        </is>
      </c>
      <c r="F48" s="16" t="inlineStr">
        <is>
          <t>REST API or DB write per implementation discovery.</t>
        </is>
      </c>
      <c r="G48" s="16" t="n">
        <v>1</v>
      </c>
      <c r="H48" s="16" t="inlineStr">
        <is>
          <t>CS-01</t>
        </is>
      </c>
      <c r="I48" s="16" t="inlineStr">
        <is>
          <t>Low</t>
        </is>
      </c>
      <c r="J48" s="16" t="inlineStr">
        <is>
          <t>Not Started</t>
        </is>
      </c>
    </row>
    <row r="49">
      <c r="A49" s="15" t="inlineStr">
        <is>
          <t>WS-01</t>
        </is>
      </c>
      <c r="B49" s="15" t="inlineStr">
        <is>
          <t>P2</t>
        </is>
      </c>
      <c r="C49" s="15" t="inlineStr">
        <is>
          <t>Web Scraping</t>
        </is>
      </c>
      <c r="D49" s="15" t="inlineStr">
        <is>
          <t>Backend</t>
        </is>
      </c>
      <c r="E49" s="15" t="inlineStr">
        <is>
          <t>Apify cloud actor wrapper</t>
        </is>
      </c>
      <c r="F49" s="15" t="inlineStr">
        <is>
          <t>Configure target URL + selectors; schedule jobs; retrieve dataset.</t>
        </is>
      </c>
      <c r="G49" s="15" t="n">
        <v>2</v>
      </c>
      <c r="H49" s="15" t="inlineStr">
        <is>
          <t>CS-01</t>
        </is>
      </c>
      <c r="I49" s="15" t="inlineStr">
        <is>
          <t>Med</t>
        </is>
      </c>
      <c r="J49" s="15" t="inlineStr">
        <is>
          <t>Not Started</t>
        </is>
      </c>
    </row>
    <row r="50">
      <c r="A50" s="16" t="inlineStr">
        <is>
          <t>WS-02</t>
        </is>
      </c>
      <c r="B50" s="16" t="inlineStr">
        <is>
          <t>P2</t>
        </is>
      </c>
      <c r="C50" s="16" t="inlineStr">
        <is>
          <t>Web Scraping</t>
        </is>
      </c>
      <c r="D50" s="16" t="inlineStr">
        <is>
          <t>Backend</t>
        </is>
      </c>
      <c r="E50" s="16" t="inlineStr">
        <is>
          <t>Playwright self-hosted actor</t>
        </is>
      </c>
      <c r="F50" s="16" t="inlineStr">
        <is>
          <t>Recorded flow runs; structured JSON output; screenshot on failure.</t>
        </is>
      </c>
      <c r="G50" s="16" t="n">
        <v>3</v>
      </c>
      <c r="H50" s="16" t="inlineStr">
        <is>
          <t>CS-01</t>
        </is>
      </c>
      <c r="I50" s="16" t="inlineStr">
        <is>
          <t>Med</t>
        </is>
      </c>
      <c r="J50" s="16" t="inlineStr">
        <is>
          <t>Not Started</t>
        </is>
      </c>
    </row>
    <row r="51">
      <c r="A51" s="15" t="inlineStr">
        <is>
          <t>SG-01</t>
        </is>
      </c>
      <c r="B51" s="15" t="inlineStr">
        <is>
          <t>P3</t>
        </is>
      </c>
      <c r="C51" s="15" t="inlineStr">
        <is>
          <t>Scale &amp; Governance</t>
        </is>
      </c>
      <c r="D51" s="15" t="inlineStr">
        <is>
          <t>Client Apps</t>
        </is>
      </c>
      <c r="E51" s="15" t="inlineStr">
        <is>
          <t>Client App registration + token lifecycle</t>
        </is>
      </c>
      <c r="F51" s="15" t="inlineStr">
        <is>
          <t>External app registers; client_id/secret issued; refresh + revocation.</t>
        </is>
      </c>
      <c r="G51" s="15" t="n">
        <v>2</v>
      </c>
      <c r="H51" s="15" t="inlineStr">
        <is>
          <t>F-01</t>
        </is>
      </c>
      <c r="I51" s="15" t="inlineStr">
        <is>
          <t>Med</t>
        </is>
      </c>
      <c r="J51" s="15" t="inlineStr">
        <is>
          <t>Not Started</t>
        </is>
      </c>
    </row>
    <row r="52">
      <c r="A52" s="16" t="inlineStr">
        <is>
          <t>SG-02</t>
        </is>
      </c>
      <c r="B52" s="16" t="inlineStr">
        <is>
          <t>P3</t>
        </is>
      </c>
      <c r="C52" s="16" t="inlineStr">
        <is>
          <t>Scale &amp; Governance</t>
        </is>
      </c>
      <c r="D52" s="16" t="inlineStr">
        <is>
          <t>Master Catalog</t>
        </is>
      </c>
      <c r="E52" s="16" t="inlineStr">
        <is>
          <t>Entity merge with impact analysis</t>
        </is>
      </c>
      <c r="F52" s="16" t="inlineStr">
        <is>
          <t>Side-by-side diff; preview affected adapters; post-merge re-test flag.</t>
        </is>
      </c>
      <c r="G52" s="16" t="n">
        <v>3</v>
      </c>
      <c r="H52" s="16" t="inlineStr">
        <is>
          <t>MC-03</t>
        </is>
      </c>
      <c r="I52" s="16" t="inlineStr">
        <is>
          <t>High</t>
        </is>
      </c>
      <c r="J52" s="16" t="inlineStr">
        <is>
          <t>Not Started</t>
        </is>
      </c>
    </row>
    <row r="53">
      <c r="A53" s="15" t="inlineStr">
        <is>
          <t>SG-03</t>
        </is>
      </c>
      <c r="B53" s="15" t="inlineStr">
        <is>
          <t>P3</t>
        </is>
      </c>
      <c r="C53" s="15" t="inlineStr">
        <is>
          <t>Scale &amp; Governance</t>
        </is>
      </c>
      <c r="D53" s="15" t="inlineStr">
        <is>
          <t>Master Catalog</t>
        </is>
      </c>
      <c r="E53" s="15" t="inlineStr">
        <is>
          <t>Entity evolution / cascade</t>
        </is>
      </c>
      <c r="F53" s="15" t="inlineStr">
        <is>
          <t>Field add/rename shows downstream impact; preview-before-commit.</t>
        </is>
      </c>
      <c r="G53" s="15" t="n">
        <v>2</v>
      </c>
      <c r="H53" s="15" t="inlineStr">
        <is>
          <t>SG-02</t>
        </is>
      </c>
      <c r="I53" s="15" t="inlineStr">
        <is>
          <t>Med</t>
        </is>
      </c>
      <c r="J53" s="15" t="inlineStr">
        <is>
          <t>Not Started</t>
        </is>
      </c>
    </row>
    <row r="54">
      <c r="A54" s="16" t="inlineStr">
        <is>
          <t>SG-04</t>
        </is>
      </c>
      <c r="B54" s="16" t="inlineStr">
        <is>
          <t>P3</t>
        </is>
      </c>
      <c r="C54" s="16" t="inlineStr">
        <is>
          <t>Scale &amp; Governance</t>
        </is>
      </c>
      <c r="D54" s="16" t="inlineStr">
        <is>
          <t>AI Ops</t>
        </is>
      </c>
      <c r="E54" s="16" t="inlineStr">
        <is>
          <t>Self-healing diagnoses</t>
        </is>
      </c>
      <c r="F54" s="16" t="inlineStr">
        <is>
          <t>AI proposes fixes for common failure patterns; dry-run before apply.</t>
        </is>
      </c>
      <c r="G54" s="16" t="n">
        <v>4</v>
      </c>
      <c r="H54" s="16" t="inlineStr">
        <is>
          <t>M-01</t>
        </is>
      </c>
      <c r="I54" s="16" t="inlineStr">
        <is>
          <t>High</t>
        </is>
      </c>
      <c r="J54" s="16" t="inlineStr">
        <is>
          <t>Not Started</t>
        </is>
      </c>
    </row>
    <row r="55">
      <c r="A55" s="15" t="inlineStr">
        <is>
          <t>SG-05</t>
        </is>
      </c>
      <c r="B55" s="15" t="inlineStr">
        <is>
          <t>P3</t>
        </is>
      </c>
      <c r="C55" s="15" t="inlineStr">
        <is>
          <t>Scale &amp; Governance</t>
        </is>
      </c>
      <c r="D55" s="15" t="inlineStr">
        <is>
          <t>Webhooks</t>
        </is>
      </c>
      <c r="E55" s="15" t="inlineStr">
        <is>
          <t>Webhook support (in/out)</t>
        </is>
      </c>
      <c r="F55" s="15" t="inlineStr">
        <is>
          <t>Inbound webhook handler with HMAC signing; outbound webhook adapter type.</t>
        </is>
      </c>
      <c r="G55" s="15" t="n">
        <v>2</v>
      </c>
      <c r="H55" s="15" t="inlineStr">
        <is>
          <t>F-03</t>
        </is>
      </c>
      <c r="I55" s="15" t="inlineStr">
        <is>
          <t>Med</t>
        </is>
      </c>
      <c r="J55" s="15" t="inlineStr">
        <is>
          <t>Not Started</t>
        </is>
      </c>
    </row>
    <row r="56">
      <c r="A56" s="16" t="inlineStr">
        <is>
          <t>SG-06</t>
        </is>
      </c>
      <c r="B56" s="16" t="inlineStr">
        <is>
          <t>P3</t>
        </is>
      </c>
      <c r="C56" s="16" t="inlineStr">
        <is>
          <t>Scale &amp; Governance</t>
        </is>
      </c>
      <c r="D56" s="16" t="inlineStr">
        <is>
          <t>Operations</t>
        </is>
      </c>
      <c r="E56" s="16" t="inlineStr">
        <is>
          <t>Bulk operations</t>
        </is>
      </c>
      <c r="F56" s="16" t="inlineStr">
        <is>
          <t>Multi-select pause/resume; batch re-test after entity change.</t>
        </is>
      </c>
      <c r="G56" s="16" t="n">
        <v>2</v>
      </c>
      <c r="H56" s="16" t="inlineStr">
        <is>
          <t>F-05</t>
        </is>
      </c>
      <c r="I56" s="16" t="inlineStr">
        <is>
          <t>Low</t>
        </is>
      </c>
      <c r="J56" s="16" t="inlineStr">
        <is>
          <t>Not Started</t>
        </is>
      </c>
    </row>
    <row r="57">
      <c r="A57" s="15" t="inlineStr">
        <is>
          <t>SG-07</t>
        </is>
      </c>
      <c r="B57" s="15" t="inlineStr">
        <is>
          <t>P3</t>
        </is>
      </c>
      <c r="C57" s="15" t="inlineStr">
        <is>
          <t>Scale &amp; Governance</t>
        </is>
      </c>
      <c r="D57" s="15" t="inlineStr">
        <is>
          <t>Audit</t>
        </is>
      </c>
      <c r="E57" s="15" t="inlineStr">
        <is>
          <t>Audit middleware writes + UI</t>
        </is>
      </c>
      <c r="F57" s="15" t="inlineStr">
        <is>
          <t>Every state-changing route writes to audit_log; timeline UI filterable by user/entity/action.</t>
        </is>
      </c>
      <c r="G57" s="15" t="n">
        <v>2</v>
      </c>
      <c r="H57" s="15" t="inlineStr">
        <is>
          <t>F-03</t>
        </is>
      </c>
      <c r="I57" s="15" t="inlineStr">
        <is>
          <t>Low</t>
        </is>
      </c>
      <c r="J57" s="15" t="inlineStr">
        <is>
          <t>Not Started</t>
        </is>
      </c>
    </row>
    <row r="58">
      <c r="A58" s="16" t="inlineStr">
        <is>
          <t>SG-08</t>
        </is>
      </c>
      <c r="B58" s="16" t="inlineStr">
        <is>
          <t>P3</t>
        </is>
      </c>
      <c r="C58" s="16" t="inlineStr">
        <is>
          <t>Scale &amp; Governance</t>
        </is>
      </c>
      <c r="D58" s="16" t="inlineStr">
        <is>
          <t>RBAC</t>
        </is>
      </c>
      <c r="E58" s="16" t="inlineStr">
        <is>
          <t>Resource-level permission overrides</t>
        </is>
      </c>
      <c r="F58" s="16" t="inlineStr">
        <is>
          <t>Per-adapter Designer access for an Operator; UI to grant + revoke.</t>
        </is>
      </c>
      <c r="G58" s="16" t="n">
        <v>2</v>
      </c>
      <c r="H58" s="16" t="inlineStr">
        <is>
          <t>F-03</t>
        </is>
      </c>
      <c r="I58" s="16" t="inlineStr">
        <is>
          <t>Med</t>
        </is>
      </c>
      <c r="J58" s="16" t="inlineStr">
        <is>
          <t>Not Started</t>
        </is>
      </c>
    </row>
    <row r="59">
      <c r="A59" s="15" t="inlineStr">
        <is>
          <t>SG-09</t>
        </is>
      </c>
      <c r="B59" s="15" t="inlineStr">
        <is>
          <t>P3</t>
        </is>
      </c>
      <c r="C59" s="15" t="inlineStr">
        <is>
          <t>Scale &amp; Governance</t>
        </is>
      </c>
      <c r="D59" s="15" t="inlineStr">
        <is>
          <t>Help System</t>
        </is>
      </c>
      <c r="E59" s="15" t="inlineStr">
        <is>
          <t>AI Help Assistant</t>
        </is>
      </c>
      <c r="F59" s="15" t="inlineStr">
        <is>
          <t>Conversational chatbot with screen state + recent actions context.</t>
        </is>
      </c>
      <c r="G59" s="15" t="n">
        <v>4</v>
      </c>
      <c r="H59" s="15" t="inlineStr">
        <is>
          <t>HS-02, M-01</t>
        </is>
      </c>
      <c r="I59" s="15" t="inlineStr">
        <is>
          <t>Med</t>
        </is>
      </c>
      <c r="J59" s="15" t="inlineStr">
        <is>
          <t>Not Started</t>
        </is>
      </c>
    </row>
    <row r="60">
      <c r="A60" s="16" t="inlineStr">
        <is>
          <t>SG-10</t>
        </is>
      </c>
      <c r="B60" s="16" t="inlineStr">
        <is>
          <t>P3</t>
        </is>
      </c>
      <c r="C60" s="16" t="inlineStr">
        <is>
          <t>Scale &amp; Governance</t>
        </is>
      </c>
      <c r="D60" s="16" t="inlineStr">
        <is>
          <t>Connectors</t>
        </is>
      </c>
      <c r="E60" s="16" t="inlineStr">
        <is>
          <t>Ahrefs destination</t>
        </is>
      </c>
      <c r="F60" s="16" t="inlineStr">
        <is>
          <t>REST API + token; rank tracking entity templates.</t>
        </is>
      </c>
      <c r="G60" s="16" t="n">
        <v>2</v>
      </c>
      <c r="H60" s="16" t="inlineStr">
        <is>
          <t>CS-02</t>
        </is>
      </c>
      <c r="I60" s="16" t="inlineStr">
        <is>
          <t>Low</t>
        </is>
      </c>
      <c r="J60" s="16" t="inlineStr">
        <is>
          <t>Not Started</t>
        </is>
      </c>
    </row>
    <row r="61">
      <c r="A61" s="15" t="inlineStr">
        <is>
          <t>SG-11</t>
        </is>
      </c>
      <c r="B61" s="15" t="inlineStr">
        <is>
          <t>P3</t>
        </is>
      </c>
      <c r="C61" s="15" t="inlineStr">
        <is>
          <t>Scale &amp; Governance</t>
        </is>
      </c>
      <c r="D61" s="15" t="inlineStr">
        <is>
          <t>Connectors</t>
        </is>
      </c>
      <c r="E61" s="15" t="inlineStr">
        <is>
          <t>Google Search Console destination</t>
        </is>
      </c>
      <c r="F61" s="15" t="inlineStr">
        <is>
          <t>Service Account / OAuth; performance/coverage entities.</t>
        </is>
      </c>
      <c r="G61" s="15" t="n">
        <v>2</v>
      </c>
      <c r="H61" s="15" t="inlineStr">
        <is>
          <t>CS-02</t>
        </is>
      </c>
      <c r="I61" s="15" t="inlineStr">
        <is>
          <t>Low</t>
        </is>
      </c>
      <c r="J61" s="15" t="inlineStr">
        <is>
          <t>Not Started</t>
        </is>
      </c>
    </row>
    <row r="62">
      <c r="A62" s="16" t="inlineStr">
        <is>
          <t>SG-12</t>
        </is>
      </c>
      <c r="B62" s="16" t="inlineStr">
        <is>
          <t>P3</t>
        </is>
      </c>
      <c r="C62" s="16" t="inlineStr">
        <is>
          <t>Scale &amp; Governance</t>
        </is>
      </c>
      <c r="D62" s="16" t="inlineStr">
        <is>
          <t>Connectors</t>
        </is>
      </c>
      <c r="E62" s="16" t="inlineStr">
        <is>
          <t>Google Adwords destination</t>
        </is>
      </c>
      <c r="F62" s="16" t="inlineStr">
        <is>
          <t>Google Ads API + OAuth2 + dev token; campaign/ad-group entities.</t>
        </is>
      </c>
      <c r="G62" s="16" t="n">
        <v>3</v>
      </c>
      <c r="H62" s="16" t="inlineStr">
        <is>
          <t>CS-02</t>
        </is>
      </c>
      <c r="I62" s="16" t="inlineStr">
        <is>
          <t>Med</t>
        </is>
      </c>
      <c r="J62" s="16" t="inlineStr">
        <is>
          <t>Not Started</t>
        </is>
      </c>
    </row>
    <row r="63">
      <c r="A63" s="15" t="inlineStr">
        <is>
          <t>P4-01</t>
        </is>
      </c>
      <c r="B63" s="15" t="inlineStr">
        <is>
          <t>P4</t>
        </is>
      </c>
      <c r="C63" s="15" t="inlineStr">
        <is>
          <t>Polish</t>
        </is>
      </c>
      <c r="D63" s="15" t="inlineStr">
        <is>
          <t>Theming</t>
        </is>
      </c>
      <c r="E63" s="15" t="inlineStr">
        <is>
          <t>Theme engine (light/dark + custom logo)</t>
        </is>
      </c>
      <c r="F63" s="15" t="inlineStr">
        <is>
          <t>User toggles theme; per-org logo upload.</t>
        </is>
      </c>
      <c r="G63" s="15" t="n">
        <v>1</v>
      </c>
      <c r="H63" s="15" t="inlineStr">
        <is>
          <t>—</t>
        </is>
      </c>
      <c r="I63" s="15" t="inlineStr">
        <is>
          <t>Low</t>
        </is>
      </c>
      <c r="J63" s="15" t="inlineStr">
        <is>
          <t>Not Started</t>
        </is>
      </c>
    </row>
    <row r="64">
      <c r="A64" s="16" t="inlineStr">
        <is>
          <t>P4-02</t>
        </is>
      </c>
      <c r="B64" s="16" t="inlineStr">
        <is>
          <t>P4</t>
        </is>
      </c>
      <c r="C64" s="16" t="inlineStr">
        <is>
          <t>Polish</t>
        </is>
      </c>
      <c r="D64" s="16" t="inlineStr">
        <is>
          <t>Mobile</t>
        </is>
      </c>
      <c r="E64" s="16" t="inlineStr">
        <is>
          <t>Mobile-responsive PWA</t>
        </is>
      </c>
      <c r="F64" s="16" t="inlineStr">
        <is>
          <t>Service worker, manifest, responsive break-points; monitor pages usable on tablet.</t>
        </is>
      </c>
      <c r="G64" s="16" t="n">
        <v>3</v>
      </c>
      <c r="H64" s="16" t="inlineStr">
        <is>
          <t>—</t>
        </is>
      </c>
      <c r="I64" s="16" t="inlineStr">
        <is>
          <t>Med</t>
        </is>
      </c>
      <c r="J64" s="16" t="inlineStr">
        <is>
          <t>Not Started</t>
        </is>
      </c>
    </row>
    <row r="65">
      <c r="A65" s="15" t="inlineStr">
        <is>
          <t>P4-03</t>
        </is>
      </c>
      <c r="B65" s="15" t="inlineStr">
        <is>
          <t>P4</t>
        </is>
      </c>
      <c r="C65" s="15" t="inlineStr">
        <is>
          <t>Polish</t>
        </is>
      </c>
      <c r="D65" s="15" t="inlineStr">
        <is>
          <t>Onboarding</t>
        </is>
      </c>
      <c r="E65" s="15" t="inlineStr">
        <is>
          <t>First-time user onboarding wizard</t>
        </is>
      </c>
      <c r="F65" s="15" t="inlineStr">
        <is>
          <t>5-step welcome flow for first login; skippable.</t>
        </is>
      </c>
      <c r="G65" s="15" t="n">
        <v>2</v>
      </c>
      <c r="H65" s="15" t="inlineStr">
        <is>
          <t>F-01</t>
        </is>
      </c>
      <c r="I65" s="15" t="inlineStr">
        <is>
          <t>Low</t>
        </is>
      </c>
      <c r="J65" s="15" t="inlineStr">
        <is>
          <t>Not Started</t>
        </is>
      </c>
    </row>
    <row r="66">
      <c r="A66" s="16" t="inlineStr">
        <is>
          <t>P4-04</t>
        </is>
      </c>
      <c r="B66" s="16" t="inlineStr">
        <is>
          <t>P4</t>
        </is>
      </c>
      <c r="C66" s="16" t="inlineStr">
        <is>
          <t>Polish</t>
        </is>
      </c>
      <c r="D66" s="16" t="inlineStr">
        <is>
          <t>Packaging</t>
        </is>
      </c>
      <c r="E66" s="16" t="inlineStr">
        <is>
          <t>Docker image + one-command deploy</t>
        </is>
      </c>
      <c r="F66" s="16" t="inlineStr">
        <is>
          <t>Single docker compose pulls image + DB + Redis; .env template.</t>
        </is>
      </c>
      <c r="G66" s="16" t="n">
        <v>2</v>
      </c>
      <c r="H66" s="16" t="inlineStr">
        <is>
          <t>—</t>
        </is>
      </c>
      <c r="I66" s="16" t="inlineStr">
        <is>
          <t>Low</t>
        </is>
      </c>
      <c r="J66" s="16" t="inlineStr">
        <is>
          <t>Not Started</t>
        </is>
      </c>
    </row>
    <row r="67">
      <c r="A67" s="15" t="inlineStr">
        <is>
          <t>P4-05</t>
        </is>
      </c>
      <c r="B67" s="15" t="inlineStr">
        <is>
          <t>P4</t>
        </is>
      </c>
      <c r="C67" s="15" t="inlineStr">
        <is>
          <t>Polish</t>
        </is>
      </c>
      <c r="D67" s="15" t="inlineStr">
        <is>
          <t>Docs</t>
        </is>
      </c>
      <c r="E67" s="15" t="inlineStr">
        <is>
          <t>Architecture guide</t>
        </is>
      </c>
      <c r="F67" s="15" t="inlineStr">
        <is>
          <t>ADRs for auth, RBAC, scraping, AI mapping, encryption.</t>
        </is>
      </c>
      <c r="G67" s="15" t="n">
        <v>1</v>
      </c>
      <c r="H67" s="15" t="inlineStr">
        <is>
          <t>—</t>
        </is>
      </c>
      <c r="I67" s="15" t="inlineStr">
        <is>
          <t>Low</t>
        </is>
      </c>
      <c r="J67" s="15" t="inlineStr">
        <is>
          <t>Not Started</t>
        </is>
      </c>
    </row>
    <row r="68">
      <c r="A68" s="16" t="inlineStr">
        <is>
          <t>P4-06</t>
        </is>
      </c>
      <c r="B68" s="16" t="inlineStr">
        <is>
          <t>P4</t>
        </is>
      </c>
      <c r="C68" s="16" t="inlineStr">
        <is>
          <t>Polish</t>
        </is>
      </c>
      <c r="D68" s="16" t="inlineStr">
        <is>
          <t>Docs</t>
        </is>
      </c>
      <c r="E68" s="16" t="inlineStr">
        <is>
          <t>User manual (per persona)</t>
        </is>
      </c>
      <c r="F68" s="16" t="inlineStr">
        <is>
          <t>Designer / Operator / Admin guides with screenshots.</t>
        </is>
      </c>
      <c r="G68" s="16" t="n">
        <v>2</v>
      </c>
      <c r="H68" s="16" t="inlineStr">
        <is>
          <t>HS-01</t>
        </is>
      </c>
      <c r="I68" s="16" t="inlineStr">
        <is>
          <t>Low</t>
        </is>
      </c>
      <c r="J68" s="16" t="inlineStr">
        <is>
          <t>Not Started</t>
        </is>
      </c>
    </row>
    <row r="69">
      <c r="A69" s="15" t="inlineStr">
        <is>
          <t>P4-07</t>
        </is>
      </c>
      <c r="B69" s="15" t="inlineStr">
        <is>
          <t>P4</t>
        </is>
      </c>
      <c r="C69" s="15" t="inlineStr">
        <is>
          <t>Polish</t>
        </is>
      </c>
      <c r="D69" s="15" t="inlineStr">
        <is>
          <t>Docs</t>
        </is>
      </c>
      <c r="E69" s="15" t="inlineStr">
        <is>
          <t>API reference</t>
        </is>
      </c>
      <c r="F69" s="15" t="inlineStr">
        <is>
          <t>OpenAPI YAML auto-generated from routes; published as docs site.</t>
        </is>
      </c>
      <c r="G69" s="15" t="n">
        <v>1</v>
      </c>
      <c r="H69" s="15" t="inlineStr">
        <is>
          <t>—</t>
        </is>
      </c>
      <c r="I69" s="15" t="inlineStr">
        <is>
          <t>Low</t>
        </is>
      </c>
      <c r="J69" s="15" t="inlineStr">
        <is>
          <t>Not Started</t>
        </is>
      </c>
    </row>
    <row r="70">
      <c r="A70" s="16" t="inlineStr">
        <is>
          <t>P4-08</t>
        </is>
      </c>
      <c r="B70" s="16" t="inlineStr">
        <is>
          <t>P4</t>
        </is>
      </c>
      <c r="C70" s="16" t="inlineStr">
        <is>
          <t>Polish</t>
        </is>
      </c>
      <c r="D70" s="16" t="inlineStr">
        <is>
          <t>Docs</t>
        </is>
      </c>
      <c r="E70" s="16" t="inlineStr">
        <is>
          <t>Handover package</t>
        </is>
      </c>
      <c r="F70" s="16" t="inlineStr">
        <is>
          <t>Bundled archive: BRD + plan + README + CLAUDE.md + runbook.</t>
        </is>
      </c>
      <c r="G70" s="16" t="n">
        <v>1</v>
      </c>
      <c r="H70" s="16" t="inlineStr">
        <is>
          <t>P4-05, P4-06, P4-07</t>
        </is>
      </c>
      <c r="I70" s="16" t="inlineStr">
        <is>
          <t>Low</t>
        </is>
      </c>
      <c r="J70" s="16" t="inlineStr">
        <is>
          <t>Not Started</t>
        </is>
      </c>
    </row>
    <row r="71">
      <c r="A71" s="15" t="inlineStr">
        <is>
          <t>P4-09</t>
        </is>
      </c>
      <c r="B71" s="15" t="inlineStr">
        <is>
          <t>P4</t>
        </is>
      </c>
      <c r="C71" s="15" t="inlineStr">
        <is>
          <t>Polish</t>
        </is>
      </c>
      <c r="D71" s="15" t="inlineStr">
        <is>
          <t>QA</t>
        </is>
      </c>
      <c r="E71" s="15" t="inlineStr">
        <is>
          <t>Final QA pass + Playwright e2e suite</t>
        </is>
      </c>
      <c r="F71" s="15" t="inlineStr">
        <is>
          <t>End-to-end test per page; CI-friendly; runs &lt;10 min.</t>
        </is>
      </c>
      <c r="G71" s="15" t="n">
        <v>3</v>
      </c>
      <c r="H71" s="15" t="inlineStr">
        <is>
          <t>all P2/P3</t>
        </is>
      </c>
      <c r="I71" s="15" t="inlineStr">
        <is>
          <t>Med</t>
        </is>
      </c>
      <c r="J71" s="15" t="inlineStr">
        <is>
          <t>Not Started</t>
        </is>
      </c>
    </row>
    <row r="74">
      <c r="A74" s="3" t="inlineStr">
        <is>
          <t>Phase Totals</t>
        </is>
      </c>
    </row>
    <row r="75" ht="22" customHeight="1">
      <c r="A75" s="11" t="inlineStr">
        <is>
          <t>Phase</t>
        </is>
      </c>
      <c r="B75" s="11" t="inlineStr">
        <is>
          <t>Items</t>
        </is>
      </c>
      <c r="C75" s="11" t="inlineStr">
        <is>
          <t>Estimate (d)</t>
        </is>
      </c>
      <c r="D75" s="11" t="inlineStr">
        <is>
          <t>Done</t>
        </is>
      </c>
      <c r="E75" s="11" t="inlineStr">
        <is>
          <t>Done %</t>
        </is>
      </c>
    </row>
    <row r="76">
      <c r="A76" s="18" t="inlineStr">
        <is>
          <t>Phase 2</t>
        </is>
      </c>
      <c r="B76" s="19">
        <f>COUNTIF(B5:B71,"P2")</f>
        <v/>
      </c>
      <c r="C76" s="19">
        <f>SUMIF(B5:B71,"P2",G5:G71)</f>
        <v/>
      </c>
      <c r="D76" s="19">
        <f>COUNTIFS(B5:B71,"P2",J5:J71,"Done")</f>
        <v/>
      </c>
      <c r="E76" s="20">
        <f>IFERROR(D76/B76,0)</f>
        <v/>
      </c>
    </row>
    <row r="77">
      <c r="A77" s="18" t="inlineStr">
        <is>
          <t>Phase 3</t>
        </is>
      </c>
      <c r="B77" s="19">
        <f>COUNTIF(B5:B71,"P3")</f>
        <v/>
      </c>
      <c r="C77" s="19">
        <f>SUMIF(B5:B71,"P3",G5:G71)</f>
        <v/>
      </c>
      <c r="D77" s="19">
        <f>COUNTIFS(B5:B71,"P3",J5:J71,"Done")</f>
        <v/>
      </c>
      <c r="E77" s="20">
        <f>IFERROR(D77/B77,0)</f>
        <v/>
      </c>
    </row>
    <row r="78">
      <c r="A78" s="18" t="inlineStr">
        <is>
          <t>Phase 4</t>
        </is>
      </c>
      <c r="B78" s="19">
        <f>COUNTIF(B5:B71,"P4")</f>
        <v/>
      </c>
      <c r="C78" s="19">
        <f>SUMIF(B5:B71,"P4",G5:G71)</f>
        <v/>
      </c>
      <c r="D78" s="19">
        <f>COUNTIFS(B5:B71,"P4",J5:J71,"Done")</f>
        <v/>
      </c>
      <c r="E78" s="20">
        <f>IFERROR(D78/B78,0)</f>
        <v/>
      </c>
    </row>
    <row r="79">
      <c r="A79" s="21" t="inlineStr">
        <is>
          <t>GRAND TOTAL</t>
        </is>
      </c>
      <c r="B79" s="21">
        <f>COUNTA(A5:A71)</f>
        <v/>
      </c>
      <c r="C79" s="21">
        <f>SUM(G5:G71)</f>
        <v/>
      </c>
      <c r="D79" s="21">
        <f>COUNTIF(J5:J71,"Done")</f>
        <v/>
      </c>
      <c r="E79" s="22">
        <f>IFERROR(D79/B79,0)</f>
        <v/>
      </c>
    </row>
  </sheetData>
  <conditionalFormatting sqref="J5:J7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J5:J71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38" customWidth="1" min="4" max="4"/>
    <col width="32" customWidth="1" min="5" max="5"/>
    <col width="32" customWidth="1" min="6" max="6"/>
    <col width="14" customWidth="1" min="7" max="7"/>
  </cols>
  <sheetData>
    <row r="1" ht="24" customHeight="1">
      <c r="A1" s="13" t="inlineStr">
        <is>
          <t>Phase 2 — Intelligence &amp; Monitoring + Multi-Source</t>
        </is>
      </c>
    </row>
    <row r="2">
      <c r="A2" s="14" t="inlineStr">
        <is>
          <t>Days 1 → 66. Capacity: 1 dev + Claude. Aggressive vibe-coded pace.</t>
        </is>
      </c>
    </row>
    <row r="4" ht="30" customHeight="1">
      <c r="A4" s="11" t="inlineStr">
        <is>
          <t>Day #</t>
        </is>
      </c>
      <c r="B4" s="11" t="inlineStr">
        <is>
          <t>Calendar Date</t>
        </is>
      </c>
      <c r="C4" s="11" t="inlineStr">
        <is>
          <t>Story ID</t>
        </is>
      </c>
      <c r="D4" s="11" t="inlineStr">
        <is>
          <t>Goal of the Day</t>
        </is>
      </c>
      <c r="E4" s="11" t="inlineStr">
        <is>
          <t>Files Touched</t>
        </is>
      </c>
      <c r="F4" s="11" t="inlineStr">
        <is>
          <t>Test That Proves Done</t>
        </is>
      </c>
      <c r="G4" s="11" t="inlineStr">
        <is>
          <t>Status</t>
        </is>
      </c>
    </row>
    <row r="5">
      <c r="A5" s="15" t="n">
        <v>1</v>
      </c>
      <c r="B5" s="23" t="n">
        <v>46147</v>
      </c>
      <c r="C5" s="15" t="inlineStr">
        <is>
          <t>F-01</t>
        </is>
      </c>
      <c r="D5" s="15" t="inlineStr">
        <is>
          <t>JWT login + auth middleware (backend)</t>
        </is>
      </c>
      <c r="E5" s="15" t="inlineStr">
        <is>
          <t>auth.routes.ts, jwtMiddleware.ts, login.tsx</t>
        </is>
      </c>
      <c r="F5" s="15" t="inlineStr">
        <is>
          <t>401 on protected route without token; 200 with valid JWT.</t>
        </is>
      </c>
      <c r="G5" s="15" t="inlineStr">
        <is>
          <t>Not Started</t>
        </is>
      </c>
    </row>
    <row r="6">
      <c r="A6" s="16" t="n">
        <v>2</v>
      </c>
      <c r="B6" s="24" t="n">
        <v>46148</v>
      </c>
      <c r="C6" s="16" t="inlineStr">
        <is>
          <t>F-01</t>
        </is>
      </c>
      <c r="D6" s="16" t="inlineStr">
        <is>
          <t>Login page UI + token storage (frontend)</t>
        </is>
      </c>
      <c r="E6" s="16" t="inlineStr">
        <is>
          <t>components/auth/LoginPage.jsx, services/auth.js</t>
        </is>
      </c>
      <c r="F6" s="16" t="inlineStr">
        <is>
          <t>Login form posts to /api/auth/login, stores JWT, redirects.</t>
        </is>
      </c>
      <c r="G6" s="16" t="inlineStr">
        <is>
          <t>Not Started</t>
        </is>
      </c>
    </row>
    <row r="7">
      <c r="A7" s="15" t="n">
        <v>3</v>
      </c>
      <c r="B7" s="23" t="n">
        <v>46149</v>
      </c>
      <c r="C7" s="15" t="inlineStr">
        <is>
          <t>F-02</t>
        </is>
      </c>
      <c r="D7" s="15" t="inlineStr">
        <is>
          <t>User CRUD endpoints + role assignment</t>
        </is>
      </c>
      <c r="E7" s="15" t="inlineStr">
        <is>
          <t>api/users.routes.ts, db/repositories/userRepo.ts</t>
        </is>
      </c>
      <c r="F7" s="15" t="inlineStr">
        <is>
          <t>Admin creates user; role enum enforced; tests cover all 4 roles.</t>
        </is>
      </c>
      <c r="G7" s="15" t="inlineStr">
        <is>
          <t>Not Started</t>
        </is>
      </c>
    </row>
    <row r="8">
      <c r="A8" s="16" t="n">
        <v>4</v>
      </c>
      <c r="B8" s="24" t="n">
        <v>46150</v>
      </c>
      <c r="C8" s="16" t="inlineStr">
        <is>
          <t>F-03</t>
        </is>
      </c>
      <c r="D8" s="16" t="inlineStr">
        <is>
          <t>Role-based route guards everywhere</t>
        </is>
      </c>
      <c r="E8" s="16" t="inlineStr">
        <is>
          <t>middleware/withRole.ts, all routes</t>
        </is>
      </c>
      <c r="F8" s="16" t="inlineStr">
        <is>
          <t>Admin-only route returns 403 for Operator; tests added per route.</t>
        </is>
      </c>
      <c r="G8" s="16" t="inlineStr">
        <is>
          <t>Not Started</t>
        </is>
      </c>
    </row>
    <row r="9">
      <c r="A9" s="15" t="n">
        <v>5</v>
      </c>
      <c r="B9" s="23" t="n">
        <v>46151</v>
      </c>
      <c r="C9" s="15" t="inlineStr">
        <is>
          <t>F-08</t>
        </is>
      </c>
      <c r="D9" s="15" t="inlineStr">
        <is>
          <t>Admin page wire-up (Users tab + Client Apps tab)</t>
        </is>
      </c>
      <c r="E9" s="15" t="inlineStr">
        <is>
          <t>components/admin/AdminPage.jsx, services/api.js</t>
        </is>
      </c>
      <c r="F9" s="15" t="inlineStr">
        <is>
          <t>AdminPage shows real users; role edit modal saves to backend.</t>
        </is>
      </c>
      <c r="G9" s="15" t="inlineStr">
        <is>
          <t>Not Started</t>
        </is>
      </c>
    </row>
    <row r="10">
      <c r="A10" s="16" t="n">
        <v>6</v>
      </c>
      <c r="B10" s="24" t="n">
        <v>46152</v>
      </c>
      <c r="C10" s="16" t="inlineStr">
        <is>
          <t>F-10</t>
        </is>
      </c>
      <c r="D10" s="16" t="inlineStr">
        <is>
          <t>Recharts install + Sparkline/BarChart/LineChart components</t>
        </is>
      </c>
      <c r="E10" s="16" t="inlineStr">
        <is>
          <t>components/shared/charts/*.jsx, package.json</t>
        </is>
      </c>
      <c r="F10" s="16" t="inlineStr">
        <is>
          <t>Storybook-style demo page renders all 3 chart types.</t>
        </is>
      </c>
      <c r="G10" s="16" t="inlineStr">
        <is>
          <t>Not Started</t>
        </is>
      </c>
    </row>
    <row r="11">
      <c r="A11" s="15" t="n">
        <v>7</v>
      </c>
      <c r="B11" s="23" t="n">
        <v>46153</v>
      </c>
      <c r="C11" s="15" t="inlineStr">
        <is>
          <t>F-04</t>
        </is>
      </c>
      <c r="D11" s="15" t="inlineStr">
        <is>
          <t>Wire Dashboard page to real summary endpoint</t>
        </is>
      </c>
      <c r="E11" s="15" t="inlineStr">
        <is>
          <t>components/dashboard/DashboardPage.jsx, api/dashboard.routes.ts</t>
        </is>
      </c>
      <c r="F11" s="15" t="inlineStr">
        <is>
          <t>KPI tiles show real counts; backend returns &lt;500ms.</t>
        </is>
      </c>
      <c r="G11" s="15" t="inlineStr">
        <is>
          <t>Not Started</t>
        </is>
      </c>
    </row>
    <row r="12">
      <c r="A12" s="16" t="n">
        <v>8</v>
      </c>
      <c r="B12" s="24" t="n">
        <v>46154</v>
      </c>
      <c r="C12" s="16" t="inlineStr">
        <is>
          <t>F-05</t>
        </is>
      </c>
      <c r="D12" s="16" t="inlineStr">
        <is>
          <t>Wire Registry + sparklines</t>
        </is>
      </c>
      <c r="E12" s="16" t="inlineStr">
        <is>
          <t>components/registry/RegistryPage.jsx</t>
        </is>
      </c>
      <c r="F12" s="16" t="inlineStr">
        <is>
          <t>Cards populated from /api/integrations; sparklines plot last 7 days runs.</t>
        </is>
      </c>
      <c r="G12" s="16" t="inlineStr">
        <is>
          <t>Not Started</t>
        </is>
      </c>
    </row>
    <row r="13">
      <c r="A13" s="15" t="n">
        <v>9</v>
      </c>
      <c r="B13" s="23" t="n">
        <v>46155</v>
      </c>
      <c r="C13" s="15" t="inlineStr">
        <is>
          <t>F-06</t>
        </is>
      </c>
      <c r="D13" s="15" t="inlineStr">
        <is>
          <t>Wire Connected page (groupings + schedules)</t>
        </is>
      </c>
      <c r="E13" s="15" t="inlineStr">
        <is>
          <t>components/connected/ConnectedPage.jsx</t>
        </is>
      </c>
      <c r="F13" s="15" t="inlineStr">
        <is>
          <t>Cards grouped by client; schedule modal saves cron.</t>
        </is>
      </c>
      <c r="G13" s="15" t="inlineStr">
        <is>
          <t>Not Started</t>
        </is>
      </c>
    </row>
    <row r="14">
      <c r="A14" s="16" t="n">
        <v>10</v>
      </c>
      <c r="B14" s="24" t="n">
        <v>46156</v>
      </c>
      <c r="C14" s="16" t="inlineStr">
        <is>
          <t>F-09</t>
        </is>
      </c>
      <c r="D14" s="16" t="inlineStr">
        <is>
          <t>Credential GET + decrypt + audit reveal</t>
        </is>
      </c>
      <c r="E14" s="16" t="inlineStr">
        <is>
          <t>api/credentials.routes.ts, services/CredentialService.ts</t>
        </is>
      </c>
      <c r="F14" s="16" t="inlineStr">
        <is>
          <t>GET /api/credentials/:id decrypts; reveal logged in audit_log.</t>
        </is>
      </c>
      <c r="G14" s="16" t="inlineStr">
        <is>
          <t>Not Started</t>
        </is>
      </c>
    </row>
    <row r="15">
      <c r="A15" s="15" t="n">
        <v>11</v>
      </c>
      <c r="B15" s="23" t="n">
        <v>46157</v>
      </c>
      <c r="C15" s="15" t="inlineStr">
        <is>
          <t>F-07</t>
        </is>
      </c>
      <c r="D15" s="15" t="inlineStr">
        <is>
          <t>Wire Vault page (mask/reveal)</t>
        </is>
      </c>
      <c r="E15" s="15" t="inlineStr">
        <is>
          <t>components/vault/VaultPage.jsx</t>
        </is>
      </c>
      <c r="F15" s="15" t="inlineStr">
        <is>
          <t>List populates from /api/credentials; reveal calls real endpoint with timer.</t>
        </is>
      </c>
      <c r="G15" s="15" t="inlineStr">
        <is>
          <t>Not Started</t>
        </is>
      </c>
    </row>
    <row r="16">
      <c r="A16" s="16" t="n">
        <v>12</v>
      </c>
      <c r="B16" s="24" t="n">
        <v>46158</v>
      </c>
      <c r="C16" s="16" t="inlineStr">
        <is>
          <t>CS-01</t>
        </is>
      </c>
      <c r="D16" s="16" t="inlineStr">
        <is>
          <t>Connector backend CRUD + versioning (part 1)</t>
        </is>
      </c>
      <c r="E16" s="16" t="inlineStr">
        <is>
          <t>api/connectors.routes.ts, db/schema.ts (connector_versions)</t>
        </is>
      </c>
      <c r="F16" s="16" t="inlineStr">
        <is>
          <t>POST/GET /api/connectors works; new version on update.</t>
        </is>
      </c>
      <c r="G16" s="16" t="inlineStr">
        <is>
          <t>Not Started</t>
        </is>
      </c>
    </row>
    <row r="17">
      <c r="A17" s="15" t="n">
        <v>13</v>
      </c>
      <c r="B17" s="23" t="n">
        <v>46159</v>
      </c>
      <c r="C17" s="15" t="inlineStr">
        <is>
          <t>CS-01</t>
        </is>
      </c>
      <c r="D17" s="15" t="inlineStr">
        <is>
          <t>Connector backend CRUD (part 2) + tests</t>
        </is>
      </c>
      <c r="E17" s="15" t="inlineStr">
        <is>
          <t>api/connectors.routes.ts, __tests__/connectors.test.ts</t>
        </is>
      </c>
      <c r="F17" s="15" t="inlineStr">
        <is>
          <t>Vitest suite green; RBAC enforces designer-only writes.</t>
        </is>
      </c>
      <c r="G17" s="15" t="inlineStr">
        <is>
          <t>Not Started</t>
        </is>
      </c>
    </row>
    <row r="18">
      <c r="A18" s="16" t="n">
        <v>14</v>
      </c>
      <c r="B18" s="24" t="n">
        <v>46160</v>
      </c>
      <c r="C18" s="16" t="inlineStr">
        <is>
          <t>CS-02</t>
        </is>
      </c>
      <c r="D18" s="16" t="inlineStr">
        <is>
          <t>OpenAPI parser service</t>
        </is>
      </c>
      <c r="E18" s="16" t="inlineStr">
        <is>
          <t>services/OpenAPIParser.ts</t>
        </is>
      </c>
      <c r="F18" s="16" t="inlineStr">
        <is>
          <t>Upload OpenAPI 3.0 → returns endpoints + schemas.</t>
        </is>
      </c>
      <c r="G18" s="16" t="inlineStr">
        <is>
          <t>Not Started</t>
        </is>
      </c>
    </row>
    <row r="19">
      <c r="A19" s="15" t="n">
        <v>15</v>
      </c>
      <c r="B19" s="23" t="n">
        <v>46161</v>
      </c>
      <c r="C19" s="15" t="inlineStr">
        <is>
          <t>CS-02</t>
        </is>
      </c>
      <c r="D19" s="15" t="inlineStr">
        <is>
          <t>Operation discovery + filtering UI</t>
        </is>
      </c>
      <c r="E19" s="15" t="inlineStr">
        <is>
          <t>components/studio/OperationDiscovery.jsx</t>
        </is>
      </c>
      <c r="F19" s="15" t="inlineStr">
        <is>
          <t>Designer ticks operations to expose; tags Read/Write/Both.</t>
        </is>
      </c>
      <c r="G19" s="15" t="inlineStr">
        <is>
          <t>Not Started</t>
        </is>
      </c>
    </row>
    <row r="20">
      <c r="A20" s="16" t="n">
        <v>16</v>
      </c>
      <c r="B20" s="24" t="n">
        <v>46162</v>
      </c>
      <c r="C20" s="16" t="inlineStr">
        <is>
          <t>CS-03</t>
        </is>
      </c>
      <c r="D20" s="16" t="inlineStr">
        <is>
          <t>Database schema introspection</t>
        </is>
      </c>
      <c r="E20" s="16" t="inlineStr">
        <is>
          <t>services/DBIntrospector.ts</t>
        </is>
      </c>
      <c r="F20" s="16" t="inlineStr">
        <is>
          <t>Postgres connection string → table list with column types.</t>
        </is>
      </c>
      <c r="G20" s="16" t="inlineStr">
        <is>
          <t>Not Started</t>
        </is>
      </c>
    </row>
    <row r="21">
      <c r="A21" s="15" t="n">
        <v>17</v>
      </c>
      <c r="B21" s="23" t="n">
        <v>46163</v>
      </c>
      <c r="C21" s="15" t="inlineStr">
        <is>
          <t>CS-04</t>
        </is>
      </c>
      <c r="D21" s="15" t="inlineStr">
        <is>
          <t>Connector test + publish endpoints</t>
        </is>
      </c>
      <c r="E21" s="15" t="inlineStr">
        <is>
          <t>api/connectors.routes.ts (publish), services/ConnectorTester.ts</t>
        </is>
      </c>
      <c r="F21" s="15" t="inlineStr">
        <is>
          <t>Publish gated on successful test; version increments.</t>
        </is>
      </c>
      <c r="G21" s="15" t="inlineStr">
        <is>
          <t>Not Started</t>
        </is>
      </c>
    </row>
    <row r="22">
      <c r="A22" s="16" t="n">
        <v>18</v>
      </c>
      <c r="B22" s="24" t="n">
        <v>46164</v>
      </c>
      <c r="C22" s="16" t="inlineStr">
        <is>
          <t>CS-05</t>
        </is>
      </c>
      <c r="D22" s="16" t="inlineStr">
        <is>
          <t>Studio UI wire-up (enable Test/Publish buttons)</t>
        </is>
      </c>
      <c r="E22" s="16" t="inlineStr">
        <is>
          <t>components/studio/StudioPage.jsx</t>
        </is>
      </c>
      <c r="F22" s="16" t="inlineStr">
        <is>
          <t>StudioPage.jsx:86 buttons enabled; round-trip works.</t>
        </is>
      </c>
      <c r="G22" s="16" t="inlineStr">
        <is>
          <t>Not Started</t>
        </is>
      </c>
    </row>
    <row r="23">
      <c r="A23" s="15" t="n">
        <v>19</v>
      </c>
      <c r="B23" s="23" t="n">
        <v>46165</v>
      </c>
      <c r="C23" s="15" t="inlineStr">
        <is>
          <t>CS-06</t>
        </is>
      </c>
      <c r="D23" s="15" t="inlineStr">
        <is>
          <t>Entity modeller drag-drop (part 1)</t>
        </is>
      </c>
      <c r="E23" s="15" t="inlineStr">
        <is>
          <t>components/studio/EntityModeller.jsx</t>
        </is>
      </c>
      <c r="F23" s="15" t="inlineStr">
        <is>
          <t>Designer groups raw fields into entities; labels editable.</t>
        </is>
      </c>
      <c r="G23" s="15" t="inlineStr">
        <is>
          <t>Not Started</t>
        </is>
      </c>
    </row>
    <row r="24">
      <c r="A24" s="16" t="n">
        <v>20</v>
      </c>
      <c r="B24" s="24" t="n">
        <v>46166</v>
      </c>
      <c r="C24" s="16" t="inlineStr">
        <is>
          <t>CS-06</t>
        </is>
      </c>
      <c r="D24" s="16" t="inlineStr">
        <is>
          <t>Entity modeller (part 2) + persist entity_definitions</t>
        </is>
      </c>
      <c r="E24" s="16" t="inlineStr">
        <is>
          <t>db/schema.ts (entity_definitions), components/studio/EntityModeller.jsx</t>
        </is>
      </c>
      <c r="F24" s="16" t="inlineStr">
        <is>
          <t>Save persists; reload restores layout.</t>
        </is>
      </c>
      <c r="G24" s="16" t="inlineStr">
        <is>
          <t>Not Started</t>
        </is>
      </c>
    </row>
    <row r="25">
      <c r="A25" s="15" t="n">
        <v>21</v>
      </c>
      <c r="B25" s="23" t="n">
        <v>46167</v>
      </c>
      <c r="C25" s="15" t="inlineStr">
        <is>
          <t>MC-01</t>
        </is>
      </c>
      <c r="D25" s="15" t="inlineStr">
        <is>
          <t>Master Catalog tables + repo</t>
        </is>
      </c>
      <c r="E25" s="15" t="inlineStr">
        <is>
          <t>db/schema.ts (entities, entity_fields), db/repositories/entityRepo.ts</t>
        </is>
      </c>
      <c r="F25" s="15" t="inlineStr">
        <is>
          <t>Tables created via Drizzle migration; repo CRUD tested.</t>
        </is>
      </c>
      <c r="G25" s="15" t="inlineStr">
        <is>
          <t>Not Started</t>
        </is>
      </c>
    </row>
    <row r="26">
      <c r="A26" s="16" t="n">
        <v>22</v>
      </c>
      <c r="B26" s="24" t="n">
        <v>46168</v>
      </c>
      <c r="C26" s="16" t="inlineStr">
        <is>
          <t>MC-02</t>
        </is>
      </c>
      <c r="D26" s="16" t="inlineStr">
        <is>
          <t>Entity tree + usage endpoints</t>
        </is>
      </c>
      <c r="E26" s="16" t="inlineStr">
        <is>
          <t>api/entities.routes.ts</t>
        </is>
      </c>
      <c r="F26" s="16" t="inlineStr">
        <is>
          <t>GET /api/entities returns tree; usage count joins integrations.fieldMappings.</t>
        </is>
      </c>
      <c r="G26" s="16" t="inlineStr">
        <is>
          <t>Not Started</t>
        </is>
      </c>
    </row>
    <row r="27">
      <c r="A27" s="15" t="n">
        <v>23</v>
      </c>
      <c r="B27" s="23" t="n">
        <v>46169</v>
      </c>
      <c r="C27" s="15" t="inlineStr">
        <is>
          <t>MC-03</t>
        </is>
      </c>
      <c r="D27" s="15" t="inlineStr">
        <is>
          <t>CatalogPage wire-up (part 1) — tree nav</t>
        </is>
      </c>
      <c r="E27" s="15" t="inlineStr">
        <is>
          <t>components/catalog/CatalogPage.jsx</t>
        </is>
      </c>
      <c r="F27" s="15" t="inlineStr">
        <is>
          <t>Tree from real API; clicking entity loads fields panel.</t>
        </is>
      </c>
      <c r="G27" s="15" t="inlineStr">
        <is>
          <t>Not Started</t>
        </is>
      </c>
    </row>
    <row r="28">
      <c r="A28" s="16" t="n">
        <v>24</v>
      </c>
      <c r="B28" s="24" t="n">
        <v>46170</v>
      </c>
      <c r="C28" s="16" t="inlineStr">
        <is>
          <t>MC-03</t>
        </is>
      </c>
      <c r="D28" s="16" t="inlineStr">
        <is>
          <t>CatalogPage (part 2) — field usage bars + cross-ref</t>
        </is>
      </c>
      <c r="E28" s="16" t="inlineStr">
        <is>
          <t>components/catalog/CatalogPage.jsx, components/shared/charts/UsageBar.jsx</t>
        </is>
      </c>
      <c r="F28" s="16" t="inlineStr">
        <is>
          <t>Field usage statistics displayed; click to see adapters.</t>
        </is>
      </c>
      <c r="G28" s="16" t="inlineStr">
        <is>
          <t>Not Started</t>
        </is>
      </c>
    </row>
    <row r="29">
      <c r="A29" s="15" t="n">
        <v>25</v>
      </c>
      <c r="B29" s="23" t="n">
        <v>46171</v>
      </c>
      <c r="C29" s="15" t="inlineStr">
        <is>
          <t>M-01</t>
        </is>
      </c>
      <c r="D29" s="15" t="inlineStr">
        <is>
          <t>Anthropic SDK + AI Auto-Map service (part 1)</t>
        </is>
      </c>
      <c r="E29" s="15" t="inlineStr">
        <is>
          <t>services/MappingAIService.ts, package.json</t>
        </is>
      </c>
      <c r="F29" s="15" t="inlineStr">
        <is>
          <t>POST /api/integrations/:id/mappings/auto-map returns suggestions.</t>
        </is>
      </c>
      <c r="G29" s="15" t="inlineStr">
        <is>
          <t>Not Started</t>
        </is>
      </c>
    </row>
    <row r="30">
      <c r="A30" s="16" t="n">
        <v>26</v>
      </c>
      <c r="B30" s="24" t="n">
        <v>46172</v>
      </c>
      <c r="C30" s="16" t="inlineStr">
        <is>
          <t>M-01</t>
        </is>
      </c>
      <c r="D30" s="16" t="inlineStr">
        <is>
          <t>AI Auto-Map (part 2) — confidence scoring + tests</t>
        </is>
      </c>
      <c r="E30" s="16" t="inlineStr">
        <is>
          <t>services/MappingAIService.ts, __tests__/mappingAI.test.ts</t>
        </is>
      </c>
      <c r="F30" s="16" t="inlineStr">
        <is>
          <t>Test set hits ≥70% accuracy on known Jira→SP mappings.</t>
        </is>
      </c>
      <c r="G30" s="16" t="inlineStr">
        <is>
          <t>Not Started</t>
        </is>
      </c>
    </row>
    <row r="31">
      <c r="A31" s="15" t="n">
        <v>27</v>
      </c>
      <c r="B31" s="23" t="n">
        <v>46173</v>
      </c>
      <c r="C31" s="15" t="inlineStr">
        <is>
          <t>M-01</t>
        </is>
      </c>
      <c r="D31" s="15" t="inlineStr">
        <is>
          <t>AI Auto-Map (part 3) — caching + cost guardrails</t>
        </is>
      </c>
      <c r="E31" s="15" t="inlineStr">
        <is>
          <t>services/MappingAIService.ts (cache layer)</t>
        </is>
      </c>
      <c r="F31" s="15" t="inlineStr">
        <is>
          <t>Repeated identical request hits cache; daily cost cap enforced.</t>
        </is>
      </c>
      <c r="G31" s="15" t="inlineStr">
        <is>
          <t>Not Started</t>
        </is>
      </c>
    </row>
    <row r="32">
      <c r="A32" s="16" t="n">
        <v>28</v>
      </c>
      <c r="B32" s="24" t="n">
        <v>46174</v>
      </c>
      <c r="C32" s="16" t="inlineStr">
        <is>
          <t>M-02</t>
        </is>
      </c>
      <c r="D32" s="16" t="inlineStr">
        <is>
          <t>NL transformation generator</t>
        </is>
      </c>
      <c r="E32" s="16" t="inlineStr">
        <is>
          <t>services/NLTransformService.ts, api/integrations.routes.ts</t>
        </is>
      </c>
      <c r="F32" s="16" t="inlineStr">
        <is>
          <t>Operator NL input → JS function returned; sample tests pass.</t>
        </is>
      </c>
      <c r="G32" s="16" t="inlineStr">
        <is>
          <t>Not Started</t>
        </is>
      </c>
    </row>
    <row r="33">
      <c r="A33" s="15" t="n">
        <v>29</v>
      </c>
      <c r="B33" s="23" t="n">
        <v>46175</v>
      </c>
      <c r="C33" s="15" t="inlineStr">
        <is>
          <t>M-03</t>
        </is>
      </c>
      <c r="D33" s="15" t="inlineStr">
        <is>
          <t>QuickJS sandbox (part 1) — runtime + limits</t>
        </is>
      </c>
      <c r="E33" s="15" t="inlineStr">
        <is>
          <t>services/SandboxService.ts, package.json</t>
        </is>
      </c>
      <c r="F33" s="15" t="inlineStr">
        <is>
          <t>Sandbox spawns; CPU/memory limits enforced; no host fs access.</t>
        </is>
      </c>
      <c r="G33" s="15" t="inlineStr">
        <is>
          <t>Not Started</t>
        </is>
      </c>
    </row>
    <row r="34">
      <c r="A34" s="16" t="n">
        <v>30</v>
      </c>
      <c r="B34" s="24" t="n">
        <v>46176</v>
      </c>
      <c r="C34" s="16" t="inlineStr">
        <is>
          <t>M-03</t>
        </is>
      </c>
      <c r="D34" s="16" t="inlineStr">
        <is>
          <t>QuickJS sandbox (part 2) — wire into push pipeline</t>
        </is>
      </c>
      <c r="E34" s="16" t="inlineStr">
        <is>
          <t>services/SharePointPushService.ts (transformations)</t>
        </is>
      </c>
      <c r="F34" s="16" t="inlineStr">
        <is>
          <t>Transformations applied per mapping line during real push.</t>
        </is>
      </c>
      <c r="G34" s="16" t="inlineStr">
        <is>
          <t>Not Started</t>
        </is>
      </c>
    </row>
    <row r="35">
      <c r="A35" s="15" t="n">
        <v>31</v>
      </c>
      <c r="B35" s="23" t="n">
        <v>46177</v>
      </c>
      <c r="C35" s="15" t="inlineStr">
        <is>
          <t>M-04</t>
        </is>
      </c>
      <c r="D35" s="15" t="inlineStr">
        <is>
          <t>Canvas wire-up to real AI + persistence</t>
        </is>
      </c>
      <c r="E35" s="15" t="inlineStr">
        <is>
          <t>components/canvas/CanvasPage.jsx, services/api.js</t>
        </is>
      </c>
      <c r="F35" s="15" t="inlineStr">
        <is>
          <t>AI Auto-Map button calls real endpoint; mapping saves to integrations.fieldMappings.</t>
        </is>
      </c>
      <c r="G35" s="15" t="inlineStr">
        <is>
          <t>Not Started</t>
        </is>
      </c>
    </row>
    <row r="36">
      <c r="A36" s="16" t="n">
        <v>32</v>
      </c>
      <c r="B36" s="24" t="n">
        <v>46178</v>
      </c>
      <c r="C36" s="16" t="inlineStr">
        <is>
          <t>M-05</t>
        </is>
      </c>
      <c r="D36" s="16" t="inlineStr">
        <is>
          <t>Mapping validation UI + checklist</t>
        </is>
      </c>
      <c r="E36" s="16" t="inlineStr">
        <is>
          <t>components/canvas/CanvasPage.jsx (validate panel)</t>
        </is>
      </c>
      <c r="F36" s="16" t="inlineStr">
        <is>
          <t>Validate button: types compatible, required mapped, no cycles.</t>
        </is>
      </c>
      <c r="G36" s="16" t="inlineStr">
        <is>
          <t>Not Started</t>
        </is>
      </c>
    </row>
    <row r="37">
      <c r="A37" s="15" t="n">
        <v>33</v>
      </c>
      <c r="B37" s="23" t="n">
        <v>46179</v>
      </c>
      <c r="C37" s="15" t="inlineStr">
        <is>
          <t>MN-01</t>
        </is>
      </c>
      <c r="D37" s="15" t="inlineStr">
        <is>
          <t>Activate run_messages writes</t>
        </is>
      </c>
      <c r="E37" s="15" t="inlineStr">
        <is>
          <t>workers/syncWorker.ts, services/SharePointPushService.ts</t>
        </is>
      </c>
      <c r="F37" s="15" t="inlineStr">
        <is>
          <t>Each push/pull writes a row; payload hash stored.</t>
        </is>
      </c>
      <c r="G37" s="15" t="inlineStr">
        <is>
          <t>Not Started</t>
        </is>
      </c>
    </row>
    <row r="38">
      <c r="A38" s="16" t="n">
        <v>34</v>
      </c>
      <c r="B38" s="24" t="n">
        <v>46180</v>
      </c>
      <c r="C38" s="16" t="inlineStr">
        <is>
          <t>MN-02</t>
        </is>
      </c>
      <c r="D38" s="16" t="inlineStr">
        <is>
          <t>Real-time stream endpoint (SSE)</t>
        </is>
      </c>
      <c r="E38" s="16" t="inlineStr">
        <is>
          <t>api/messages.routes.ts (stream)</t>
        </is>
      </c>
      <c r="F38" s="16" t="inlineStr">
        <is>
          <t>SSE feed sends new rows in &lt;1s; client reconnects on drop.</t>
        </is>
      </c>
      <c r="G38" s="16" t="inlineStr">
        <is>
          <t>Not Started</t>
        </is>
      </c>
    </row>
    <row r="39">
      <c r="A39" s="15" t="n">
        <v>35</v>
      </c>
      <c r="B39" s="23" t="n">
        <v>46181</v>
      </c>
      <c r="C39" s="15" t="inlineStr">
        <is>
          <t>MN-03</t>
        </is>
      </c>
      <c r="D39" s="15" t="inlineStr">
        <is>
          <t>Trading Network Console wire-up</t>
        </is>
      </c>
      <c r="E39" s="15" t="inlineStr">
        <is>
          <t>components/monitor/MonitorPage.jsx</t>
        </is>
      </c>
      <c r="F39" s="15" t="inlineStr">
        <is>
          <t>Live table + expand rows + payload + mapping trace + pause.</t>
        </is>
      </c>
      <c r="G39" s="15" t="inlineStr">
        <is>
          <t>Not Started</t>
        </is>
      </c>
    </row>
    <row r="40">
      <c r="A40" s="16" t="n">
        <v>36</v>
      </c>
      <c r="B40" s="24" t="n">
        <v>46182</v>
      </c>
      <c r="C40" s="16" t="inlineStr">
        <is>
          <t>MN-04</t>
        </is>
      </c>
      <c r="D40" s="16" t="inlineStr">
        <is>
          <t>Health Dashboard summary endpoints</t>
        </is>
      </c>
      <c r="E40" s="16" t="inlineStr">
        <is>
          <t>api/dashboard.routes.ts, db/views.sql (materialised)</t>
        </is>
      </c>
      <c r="F40" s="16" t="inlineStr">
        <is>
          <t>All 4 endpoints return &lt;500ms.</t>
        </is>
      </c>
      <c r="G40" s="16" t="inlineStr">
        <is>
          <t>Not Started</t>
        </is>
      </c>
    </row>
    <row r="41">
      <c r="A41" s="15" t="n">
        <v>37</v>
      </c>
      <c r="B41" s="23" t="n">
        <v>46183</v>
      </c>
      <c r="C41" s="15" t="inlineStr">
        <is>
          <t>MN-05</t>
        </is>
      </c>
      <c r="D41" s="15" t="inlineStr">
        <is>
          <t>Health Dashboard charts wire-up</t>
        </is>
      </c>
      <c r="E41" s="15" t="inlineStr">
        <is>
          <t>components/dashboard/DashboardPage.jsx</t>
        </is>
      </c>
      <c r="F41" s="15" t="inlineStr">
        <is>
          <t>Volume bar + trend line + client tier ribbon all live.</t>
        </is>
      </c>
      <c r="G41" s="15" t="inlineStr">
        <is>
          <t>Not Started</t>
        </is>
      </c>
    </row>
    <row r="42">
      <c r="A42" s="16" t="n">
        <v>38</v>
      </c>
      <c r="B42" s="24" t="n">
        <v>46184</v>
      </c>
      <c r="C42" s="16" t="inlineStr">
        <is>
          <t>AL-01</t>
        </is>
      </c>
      <c r="D42" s="16" t="inlineStr">
        <is>
          <t>AlertService.create() + DB writes from worker failure paths</t>
        </is>
      </c>
      <c r="E42" s="16" t="inlineStr">
        <is>
          <t>services/AlertService.ts, workers/integrationRunner.ts</t>
        </is>
      </c>
      <c r="F42" s="16" t="inlineStr">
        <is>
          <t>Failing run inserts alert row with severity + integration ref.</t>
        </is>
      </c>
      <c r="G42" s="16" t="inlineStr">
        <is>
          <t>Not Started</t>
        </is>
      </c>
    </row>
    <row r="43">
      <c r="A43" s="15" t="n">
        <v>39</v>
      </c>
      <c r="B43" s="23" t="n">
        <v>46185</v>
      </c>
      <c r="C43" s="15" t="inlineStr">
        <is>
          <t>AL-02</t>
        </is>
      </c>
      <c r="D43" s="15" t="inlineStr">
        <is>
          <t>alert-dispatcher worker logic</t>
        </is>
      </c>
      <c r="E43" s="15" t="inlineStr">
        <is>
          <t>workers/alertDispatcher.ts</t>
        </is>
      </c>
      <c r="F43" s="15" t="inlineStr">
        <is>
          <t>Worker reads queue; routes to in-app + email per user prefs.</t>
        </is>
      </c>
      <c r="G43" s="15" t="inlineStr">
        <is>
          <t>Not Started</t>
        </is>
      </c>
    </row>
    <row r="44">
      <c r="A44" s="16" t="n">
        <v>40</v>
      </c>
      <c r="B44" s="24" t="n">
        <v>46186</v>
      </c>
      <c r="C44" s="16" t="inlineStr">
        <is>
          <t>AL-03</t>
        </is>
      </c>
      <c r="D44" s="16" t="inlineStr">
        <is>
          <t>Email transport (nodemailer + SMTP)</t>
        </is>
      </c>
      <c r="E44" s="16" t="inlineStr">
        <is>
          <t>services/EmailService.ts, .env</t>
        </is>
      </c>
      <c r="F44" s="16" t="inlineStr">
        <is>
          <t>Critical alert delivers email; daily digest job scheduled.</t>
        </is>
      </c>
      <c r="G44" s="16" t="inlineStr">
        <is>
          <t>Not Started</t>
        </is>
      </c>
    </row>
    <row r="45">
      <c r="A45" s="15" t="n">
        <v>41</v>
      </c>
      <c r="B45" s="23" t="n">
        <v>46187</v>
      </c>
      <c r="C45" s="15" t="inlineStr">
        <is>
          <t>AL-04</t>
        </is>
      </c>
      <c r="D45" s="15" t="inlineStr">
        <is>
          <t>AlertsPage wire-up + acknowledge/escalate</t>
        </is>
      </c>
      <c r="E45" s="15" t="inlineStr">
        <is>
          <t>components/alerts/AlertsPage.jsx</t>
        </is>
      </c>
      <c r="F45" s="15" t="inlineStr">
        <is>
          <t>Acknowledge button calls real API; alert moves to acknowledged state.</t>
        </is>
      </c>
      <c r="G45" s="15" t="inlineStr">
        <is>
          <t>Not Started</t>
        </is>
      </c>
    </row>
    <row r="46">
      <c r="A46" s="16" t="n">
        <v>42</v>
      </c>
      <c r="B46" s="24" t="n">
        <v>46188</v>
      </c>
      <c r="C46" s="16" t="inlineStr">
        <is>
          <t>AL-05</t>
        </is>
      </c>
      <c r="D46" s="16" t="inlineStr">
        <is>
          <t>Threshold-based custom alerts</t>
        </is>
      </c>
      <c r="E46" s="16" t="inlineStr">
        <is>
          <t>services/ThresholdService.ts, daily cron job</t>
        </is>
      </c>
      <c r="F46" s="16" t="inlineStr">
        <is>
          <t>Threshold breach generates alert; admin UI to configure.</t>
        </is>
      </c>
      <c r="G46" s="16" t="inlineStr">
        <is>
          <t>Not Started</t>
        </is>
      </c>
    </row>
    <row r="47">
      <c r="A47" s="15" t="n">
        <v>43</v>
      </c>
      <c r="B47" s="23" t="n">
        <v>46189</v>
      </c>
      <c r="C47" s="15" t="inlineStr">
        <is>
          <t>HS-01</t>
        </is>
      </c>
      <c r="D47" s="15" t="inlineStr">
        <is>
          <t>Help content authoring + lunr index (part 1)</t>
        </is>
      </c>
      <c r="E47" s="15" t="inlineStr">
        <is>
          <t>docs/help/*.md, scripts/build-help-index.js</t>
        </is>
      </c>
      <c r="F47" s="15" t="inlineStr">
        <is>
          <t>10+ articles authored; index built at build time.</t>
        </is>
      </c>
      <c r="G47" s="15" t="inlineStr">
        <is>
          <t>Not Started</t>
        </is>
      </c>
    </row>
    <row r="48">
      <c r="A48" s="16" t="n">
        <v>44</v>
      </c>
      <c r="B48" s="24" t="n">
        <v>46190</v>
      </c>
      <c r="C48" s="16" t="inlineStr">
        <is>
          <t>HS-01</t>
        </is>
      </c>
      <c r="D48" s="16" t="inlineStr">
        <is>
          <t>Help content (part 2) — per-persona guides + screenshots</t>
        </is>
      </c>
      <c r="E48" s="16" t="inlineStr">
        <is>
          <t>docs/help/*.md, public/help/screenshots/*</t>
        </is>
      </c>
      <c r="F48" s="16" t="inlineStr">
        <is>
          <t>Designer/Operator/Admin guides complete; screenshots embedded.</t>
        </is>
      </c>
      <c r="G48" s="16" t="inlineStr">
        <is>
          <t>Not Started</t>
        </is>
      </c>
    </row>
    <row r="49">
      <c r="A49" s="15" t="n">
        <v>45</v>
      </c>
      <c r="B49" s="23" t="n">
        <v>46191</v>
      </c>
      <c r="C49" s="15" t="inlineStr">
        <is>
          <t>HS-02</t>
        </is>
      </c>
      <c r="D49" s="15" t="inlineStr">
        <is>
          <t>HelpPanel wire-up + search</t>
        </is>
      </c>
      <c r="E49" s="15" t="inlineStr">
        <is>
          <t>components/layout/HelpPanel.jsx</t>
        </is>
      </c>
      <c r="F49" s="15" t="inlineStr">
        <is>
          <t>'?' icon opens panel; search returns ranked results.</t>
        </is>
      </c>
      <c r="G49" s="15" t="inlineStr">
        <is>
          <t>Not Started</t>
        </is>
      </c>
    </row>
    <row r="50">
      <c r="A50" s="16" t="n">
        <v>46</v>
      </c>
      <c r="B50" s="24" t="n">
        <v>46192</v>
      </c>
      <c r="C50" s="16" t="inlineStr">
        <is>
          <t>HS-03</t>
        </is>
      </c>
      <c r="D50" s="16" t="inlineStr">
        <is>
          <t>Tooltips + first-time walkthroughs</t>
        </is>
      </c>
      <c r="E50" s="16" t="inlineStr">
        <is>
          <t>components/shared/Tooltip.jsx, walkthroughs/*.js (shepherd.js)</t>
        </is>
      </c>
      <c r="F50" s="16" t="inlineStr">
        <is>
          <t>Tooltip on every icon; walkthrough on first visit per major screen.</t>
        </is>
      </c>
      <c r="G50" s="16" t="inlineStr">
        <is>
          <t>Not Started</t>
        </is>
      </c>
    </row>
    <row r="51">
      <c r="A51" s="15" t="n">
        <v>47</v>
      </c>
      <c r="B51" s="23" t="n">
        <v>46193</v>
      </c>
      <c r="C51" s="15" t="inlineStr">
        <is>
          <t>HS-03</t>
        </is>
      </c>
      <c r="D51" s="15" t="inlineStr">
        <is>
          <t>Walkthrough polish + dismissable + re-accessible</t>
        </is>
      </c>
      <c r="E51" s="15" t="inlineStr">
        <is>
          <t>components/layout/HelpMenu.jsx</t>
        </is>
      </c>
      <c r="F51" s="15" t="inlineStr">
        <is>
          <t>User can re-launch walkthrough from Help menu.</t>
        </is>
      </c>
      <c r="G51" s="15" t="inlineStr">
        <is>
          <t>Not Started</t>
        </is>
      </c>
    </row>
    <row r="52">
      <c r="A52" s="16" t="n">
        <v>48</v>
      </c>
      <c r="B52" s="24" t="n">
        <v>46194</v>
      </c>
      <c r="C52" s="16" t="inlineStr">
        <is>
          <t>NS-01</t>
        </is>
      </c>
      <c r="D52" s="16" t="inlineStr">
        <is>
          <t>PostgreSQL source connector</t>
        </is>
      </c>
      <c r="E52" s="16" t="inlineStr">
        <is>
          <t>integrations/postgres/*, services/PostgresExtractor.ts</t>
        </is>
      </c>
      <c r="F52" s="16" t="inlineStr">
        <is>
          <t>Schema introspect + parametrised SELECT; entities match Jira format.</t>
        </is>
      </c>
      <c r="G52" s="16" t="inlineStr">
        <is>
          <t>Not Started</t>
        </is>
      </c>
    </row>
    <row r="53">
      <c r="A53" s="15" t="n">
        <v>49</v>
      </c>
      <c r="B53" s="23" t="n">
        <v>46195</v>
      </c>
      <c r="C53" s="15" t="inlineStr">
        <is>
          <t>NS-01</t>
        </is>
      </c>
      <c r="D53" s="15" t="inlineStr">
        <is>
          <t>PostgreSQL pagination + delta sync support</t>
        </is>
      </c>
      <c r="E53" s="15" t="inlineStr">
        <is>
          <t>services/PostgresExtractor.ts (cursor-based)</t>
        </is>
      </c>
      <c r="F53" s="15" t="inlineStr">
        <is>
          <t>Large tables paginate; delta query via timestamp watermark.</t>
        </is>
      </c>
      <c r="G53" s="15" t="inlineStr">
        <is>
          <t>Not Started</t>
        </is>
      </c>
    </row>
    <row r="54">
      <c r="A54" s="16" t="n">
        <v>50</v>
      </c>
      <c r="B54" s="24" t="n">
        <v>46196</v>
      </c>
      <c r="C54" s="16" t="inlineStr">
        <is>
          <t>NS-02</t>
        </is>
      </c>
      <c r="D54" s="16" t="inlineStr">
        <is>
          <t>Excel/CSV source connector</t>
        </is>
      </c>
      <c r="E54" s="16" t="inlineStr">
        <is>
          <t>integrations/excel/*, services/ExcelParser.ts</t>
        </is>
      </c>
      <c r="F54" s="16" t="inlineStr">
        <is>
          <t>Upload XLSX or read from SharePoint path; sheet/range selection.</t>
        </is>
      </c>
      <c r="G54" s="16" t="inlineStr">
        <is>
          <t>Not Started</t>
        </is>
      </c>
    </row>
    <row r="55">
      <c r="A55" s="15" t="n">
        <v>51</v>
      </c>
      <c r="B55" s="23" t="n">
        <v>46197</v>
      </c>
      <c r="C55" s="15" t="inlineStr">
        <is>
          <t>NS-03</t>
        </is>
      </c>
      <c r="D55" s="15" t="inlineStr">
        <is>
          <t>Dynamics 365 source connector (part 1) — auth + discovery</t>
        </is>
      </c>
      <c r="E55" s="15" t="inlineStr">
        <is>
          <t>integrations/dynamics/*, services/DynamicsClient.ts</t>
        </is>
      </c>
      <c r="F55" s="15" t="inlineStr">
        <is>
          <t>Azure AD OAuth2; entity discovery via OData $metadata.</t>
        </is>
      </c>
      <c r="G55" s="15" t="inlineStr">
        <is>
          <t>Not Started</t>
        </is>
      </c>
    </row>
    <row r="56">
      <c r="A56" s="16" t="n">
        <v>52</v>
      </c>
      <c r="B56" s="24" t="n">
        <v>46198</v>
      </c>
      <c r="C56" s="16" t="inlineStr">
        <is>
          <t>NS-03</t>
        </is>
      </c>
      <c r="D56" s="16" t="inlineStr">
        <is>
          <t>Dynamics 365 (part 2) — entity templates</t>
        </is>
      </c>
      <c r="E56" s="16" t="inlineStr">
        <is>
          <t>integrations/dynamics/templates/*</t>
        </is>
      </c>
      <c r="F56" s="16" t="inlineStr">
        <is>
          <t>Account/Contact/Lead templates with default field labels.</t>
        </is>
      </c>
      <c r="G56" s="16" t="inlineStr">
        <is>
          <t>Not Started</t>
        </is>
      </c>
    </row>
    <row r="57">
      <c r="A57" s="15" t="n">
        <v>53</v>
      </c>
      <c r="B57" s="23" t="n">
        <v>46199</v>
      </c>
      <c r="C57" s="15" t="inlineStr">
        <is>
          <t>NS-03</t>
        </is>
      </c>
      <c r="D57" s="15" t="inlineStr">
        <is>
          <t>Dynamics 365 (part 3) — testing + delta sync</t>
        </is>
      </c>
      <c r="E57" s="15" t="inlineStr">
        <is>
          <t>integrations/dynamics/*, __tests__/dynamics.test.ts</t>
        </is>
      </c>
      <c r="F57" s="15" t="inlineStr">
        <is>
          <t>Delta sync via modifiedon timestamp; test against sandbox.</t>
        </is>
      </c>
      <c r="G57" s="15" t="inlineStr">
        <is>
          <t>Not Started</t>
        </is>
      </c>
    </row>
    <row r="58">
      <c r="A58" s="16" t="n">
        <v>54</v>
      </c>
      <c r="B58" s="24" t="n">
        <v>46200</v>
      </c>
      <c r="C58" s="16" t="inlineStr">
        <is>
          <t>NS-04</t>
        </is>
      </c>
      <c r="D58" s="16" t="inlineStr">
        <is>
          <t>Keka source connector (part 1)</t>
        </is>
      </c>
      <c r="E58" s="16" t="inlineStr">
        <is>
          <t>integrations/keka/*</t>
        </is>
      </c>
      <c r="F58" s="16" t="inlineStr">
        <is>
          <t>REST API + API Key; employee/leave templates.</t>
        </is>
      </c>
      <c r="G58" s="16" t="inlineStr">
        <is>
          <t>Not Started</t>
        </is>
      </c>
    </row>
    <row r="59">
      <c r="A59" s="15" t="n">
        <v>55</v>
      </c>
      <c r="B59" s="23" t="n">
        <v>46201</v>
      </c>
      <c r="C59" s="15" t="inlineStr">
        <is>
          <t>NS-04</t>
        </is>
      </c>
      <c r="D59" s="15" t="inlineStr">
        <is>
          <t>Keka source connector (part 2) — testing + docs</t>
        </is>
      </c>
      <c r="E59" s="15" t="inlineStr">
        <is>
          <t>integrations/keka/*, docs/help/keka-connector.md</t>
        </is>
      </c>
      <c r="F59" s="15" t="inlineStr">
        <is>
          <t>Sandbox tested; help article published.</t>
        </is>
      </c>
      <c r="G59" s="15" t="inlineStr">
        <is>
          <t>Not Started</t>
        </is>
      </c>
    </row>
    <row r="60">
      <c r="A60" s="16" t="n">
        <v>56</v>
      </c>
      <c r="B60" s="24" t="n">
        <v>46202</v>
      </c>
      <c r="C60" s="16" t="inlineStr">
        <is>
          <t>NS-05</t>
        </is>
      </c>
      <c r="D60" s="16" t="inlineStr">
        <is>
          <t>TARA source connector (part 1)</t>
        </is>
      </c>
      <c r="E60" s="16" t="inlineStr">
        <is>
          <t>integrations/tara/*</t>
        </is>
      </c>
      <c r="F60" s="16" t="inlineStr">
        <is>
          <t>REST API or scraping fallback discovered; project/test entities.</t>
        </is>
      </c>
      <c r="G60" s="16" t="inlineStr">
        <is>
          <t>Not Started</t>
        </is>
      </c>
    </row>
    <row r="61">
      <c r="A61" s="15" t="n">
        <v>57</v>
      </c>
      <c r="B61" s="23" t="n">
        <v>46203</v>
      </c>
      <c r="C61" s="15" t="inlineStr">
        <is>
          <t>NS-05</t>
        </is>
      </c>
      <c r="D61" s="15" t="inlineStr">
        <is>
          <t>TARA source connector (part 2) — finalize</t>
        </is>
      </c>
      <c r="E61" s="15" t="inlineStr">
        <is>
          <t>integrations/tara/*</t>
        </is>
      </c>
      <c r="F61" s="15" t="inlineStr">
        <is>
          <t>Templates + tests; help article.</t>
        </is>
      </c>
      <c r="G61" s="15" t="inlineStr">
        <is>
          <t>Not Started</t>
        </is>
      </c>
    </row>
    <row r="62">
      <c r="A62" s="16" t="n">
        <v>58</v>
      </c>
      <c r="B62" s="24" t="n">
        <v>46204</v>
      </c>
      <c r="C62" s="16" t="inlineStr">
        <is>
          <t>ND-01</t>
        </is>
      </c>
      <c r="D62" s="16" t="inlineStr">
        <is>
          <t>TFS / Azure DevOps destination (part 1)</t>
        </is>
      </c>
      <c r="E62" s="16" t="inlineStr">
        <is>
          <t>integrations/tfs/*, services/TFSPushService.ts</t>
        </is>
      </c>
      <c r="F62" s="16" t="inlineStr">
        <is>
          <t>REST API + PAT; create work items in dev project.</t>
        </is>
      </c>
      <c r="G62" s="16" t="inlineStr">
        <is>
          <t>Not Started</t>
        </is>
      </c>
    </row>
    <row r="63">
      <c r="A63" s="15" t="n">
        <v>59</v>
      </c>
      <c r="B63" s="23" t="n">
        <v>46205</v>
      </c>
      <c r="C63" s="15" t="inlineStr">
        <is>
          <t>ND-01</t>
        </is>
      </c>
      <c r="D63" s="15" t="inlineStr">
        <is>
          <t>TFS (part 2) — mapping template + dedup</t>
        </is>
      </c>
      <c r="E63" s="15" t="inlineStr">
        <is>
          <t>integrations/tfs/templates/*</t>
        </is>
      </c>
      <c r="F63" s="15" t="inlineStr">
        <is>
          <t>Jira issue → Work Item mapping template; dedup on Title.</t>
        </is>
      </c>
      <c r="G63" s="15" t="inlineStr">
        <is>
          <t>Not Started</t>
        </is>
      </c>
    </row>
    <row r="64">
      <c r="A64" s="16" t="n">
        <v>60</v>
      </c>
      <c r="B64" s="24" t="n">
        <v>46206</v>
      </c>
      <c r="C64" s="16" t="inlineStr">
        <is>
          <t>ND-01</t>
        </is>
      </c>
      <c r="D64" s="16" t="inlineStr">
        <is>
          <t>TFS (part 3) — tests + docs</t>
        </is>
      </c>
      <c r="E64" s="16" t="inlineStr">
        <is>
          <t>__tests__/tfs.test.ts, docs/help/tfs-destination.md</t>
        </is>
      </c>
      <c r="F64" s="16" t="inlineStr">
        <is>
          <t>Vitest green; help article live.</t>
        </is>
      </c>
      <c r="G64" s="16" t="inlineStr">
        <is>
          <t>Not Started</t>
        </is>
      </c>
    </row>
    <row r="65">
      <c r="A65" s="15" t="n">
        <v>61</v>
      </c>
      <c r="B65" s="23" t="n">
        <v>46207</v>
      </c>
      <c r="C65" s="15" t="inlineStr">
        <is>
          <t>ND-02</t>
        </is>
      </c>
      <c r="D65" s="15" t="inlineStr">
        <is>
          <t>Holiday Tracker destination</t>
        </is>
      </c>
      <c r="E65" s="15" t="inlineStr">
        <is>
          <t>integrations/holiday-tracker/*</t>
        </is>
      </c>
      <c r="F65" s="15" t="inlineStr">
        <is>
          <t>API or DB write; mapping template; test against staging.</t>
        </is>
      </c>
      <c r="G65" s="15" t="inlineStr">
        <is>
          <t>Not Started</t>
        </is>
      </c>
    </row>
    <row r="66">
      <c r="A66" s="16" t="n">
        <v>62</v>
      </c>
      <c r="B66" s="24" t="n">
        <v>46208</v>
      </c>
      <c r="C66" s="16" t="inlineStr">
        <is>
          <t>WS-01</t>
        </is>
      </c>
      <c r="D66" s="16" t="inlineStr">
        <is>
          <t>Apify cloud actor wrapper (part 1)</t>
        </is>
      </c>
      <c r="E66" s="16" t="inlineStr">
        <is>
          <t>integrations/scrape/apify/*, services/ApifyClient.ts</t>
        </is>
      </c>
      <c r="F66" s="16" t="inlineStr">
        <is>
          <t>Configure target URL + selectors; trigger run; retrieve dataset.</t>
        </is>
      </c>
      <c r="G66" s="16" t="inlineStr">
        <is>
          <t>Not Started</t>
        </is>
      </c>
    </row>
    <row r="67">
      <c r="A67" s="15" t="n">
        <v>63</v>
      </c>
      <c r="B67" s="23" t="n">
        <v>46209</v>
      </c>
      <c r="C67" s="15" t="inlineStr">
        <is>
          <t>WS-01</t>
        </is>
      </c>
      <c r="D67" s="15" t="inlineStr">
        <is>
          <t>Apify (part 2) — scheduling + monitoring</t>
        </is>
      </c>
      <c r="E67" s="15" t="inlineStr">
        <is>
          <t>services/ApifyClient.ts, workers/scrapeRunner.ts</t>
        </is>
      </c>
      <c r="F67" s="15" t="inlineStr">
        <is>
          <t>Apify schedule integrated with BullMQ; failure alert dispatched.</t>
        </is>
      </c>
      <c r="G67" s="15" t="inlineStr">
        <is>
          <t>Not Started</t>
        </is>
      </c>
    </row>
    <row r="68">
      <c r="A68" s="16" t="n">
        <v>64</v>
      </c>
      <c r="B68" s="24" t="n">
        <v>46210</v>
      </c>
      <c r="C68" s="16" t="inlineStr">
        <is>
          <t>WS-02</t>
        </is>
      </c>
      <c r="D68" s="16" t="inlineStr">
        <is>
          <t>Playwright actor (part 1) — runtime</t>
        </is>
      </c>
      <c r="E68" s="16" t="inlineStr">
        <is>
          <t>integrations/scrape/playwright/*</t>
        </is>
      </c>
      <c r="F68" s="16" t="inlineStr">
        <is>
          <t>Recorded flow runs in worker; structured JSON returned.</t>
        </is>
      </c>
      <c r="G68" s="16" t="inlineStr">
        <is>
          <t>Not Started</t>
        </is>
      </c>
    </row>
    <row r="69">
      <c r="A69" s="15" t="n">
        <v>65</v>
      </c>
      <c r="B69" s="23" t="n">
        <v>46211</v>
      </c>
      <c r="C69" s="15" t="inlineStr">
        <is>
          <t>WS-02</t>
        </is>
      </c>
      <c r="D69" s="15" t="inlineStr">
        <is>
          <t>Playwright actor (part 2) — screenshot diff on failure</t>
        </is>
      </c>
      <c r="E69" s="15" t="inlineStr">
        <is>
          <t>integrations/scrape/playwright/*</t>
        </is>
      </c>
      <c r="F69" s="15" t="inlineStr">
        <is>
          <t>Failure captures screenshot; alert includes diff image.</t>
        </is>
      </c>
      <c r="G69" s="15" t="inlineStr">
        <is>
          <t>Not Started</t>
        </is>
      </c>
    </row>
    <row r="70">
      <c r="A70" s="16" t="n">
        <v>66</v>
      </c>
      <c r="B70" s="24" t="n">
        <v>46212</v>
      </c>
      <c r="C70" s="16" t="inlineStr">
        <is>
          <t>WS-02</t>
        </is>
      </c>
      <c r="D70" s="16" t="inlineStr">
        <is>
          <t>Playwright actor (part 3) — anti-detection basics + polish</t>
        </is>
      </c>
      <c r="E70" s="16" t="inlineStr">
        <is>
          <t>integrations/scrape/playwright/*</t>
        </is>
      </c>
      <c r="F70" s="16" t="inlineStr">
        <is>
          <t>Rotating UA; configurable delays; spider/bot icon in registry.</t>
        </is>
      </c>
      <c r="G70" s="16" t="inlineStr">
        <is>
          <t>Not Started</t>
        </is>
      </c>
    </row>
    <row r="73">
      <c r="A73" s="3" t="inlineStr">
        <is>
          <t>Days Done</t>
        </is>
      </c>
      <c r="B73" s="3">
        <f>COUNTIF(G5:G70,"Done")</f>
        <v/>
      </c>
      <c r="C73" s="17">
        <f>COUNTIF(G5:G70,"In Progress")</f>
        <v/>
      </c>
      <c r="D73" s="4" t="inlineStr">
        <is>
          <t>In Progress</t>
        </is>
      </c>
    </row>
    <row r="74">
      <c r="A74" s="3" t="inlineStr">
        <is>
          <t>Total Days</t>
        </is>
      </c>
      <c r="B74" s="3" t="n">
        <v>66</v>
      </c>
    </row>
    <row r="75">
      <c r="A75" s="3" t="inlineStr">
        <is>
          <t>% Complete</t>
        </is>
      </c>
      <c r="B75" s="25">
        <f>IFERROR(COUNTIF(G5:G70,"Done")/66,0)</f>
        <v/>
      </c>
    </row>
  </sheetData>
  <conditionalFormatting sqref="G5:G7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G5:G7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38" customWidth="1" min="4" max="4"/>
    <col width="32" customWidth="1" min="5" max="5"/>
    <col width="32" customWidth="1" min="6" max="6"/>
    <col width="14" customWidth="1" min="7" max="7"/>
  </cols>
  <sheetData>
    <row r="1" ht="24" customHeight="1">
      <c r="A1" s="13" t="inlineStr">
        <is>
          <t>Phase 3 — Scale &amp; Governance</t>
        </is>
      </c>
    </row>
    <row r="2">
      <c r="A2" s="14" t="inlineStr">
        <is>
          <t>Days 67 → 95. Multi-tenant + governance + Phase-3 destinations.</t>
        </is>
      </c>
    </row>
    <row r="4" ht="30" customHeight="1">
      <c r="A4" s="11" t="inlineStr">
        <is>
          <t>Day #</t>
        </is>
      </c>
      <c r="B4" s="11" t="inlineStr">
        <is>
          <t>Calendar Date</t>
        </is>
      </c>
      <c r="C4" s="11" t="inlineStr">
        <is>
          <t>Story ID</t>
        </is>
      </c>
      <c r="D4" s="11" t="inlineStr">
        <is>
          <t>Goal of the Day</t>
        </is>
      </c>
      <c r="E4" s="11" t="inlineStr">
        <is>
          <t>Files Touched</t>
        </is>
      </c>
      <c r="F4" s="11" t="inlineStr">
        <is>
          <t>Test That Proves Done</t>
        </is>
      </c>
      <c r="G4" s="11" t="inlineStr">
        <is>
          <t>Status</t>
        </is>
      </c>
    </row>
    <row r="5">
      <c r="A5" s="15" t="n">
        <v>1</v>
      </c>
      <c r="B5" s="23" t="n">
        <v>46213</v>
      </c>
      <c r="C5" s="15" t="inlineStr">
        <is>
          <t>SG-01</t>
        </is>
      </c>
      <c r="D5" s="15" t="inlineStr">
        <is>
          <t>Client App Registration backend + token issuance</t>
        </is>
      </c>
      <c r="E5" s="15" t="inlineStr">
        <is>
          <t>api/clients.routes.ts, db/schema.ts (client_apps)</t>
        </is>
      </c>
      <c r="F5" s="15" t="inlineStr">
        <is>
          <t>External app registers; client_id + secret returned; stored hashed.</t>
        </is>
      </c>
      <c r="G5" s="15" t="inlineStr">
        <is>
          <t>Not Started</t>
        </is>
      </c>
    </row>
    <row r="6">
      <c r="A6" s="16" t="n">
        <v>2</v>
      </c>
      <c r="B6" s="24" t="n">
        <v>46214</v>
      </c>
      <c r="C6" s="16" t="inlineStr">
        <is>
          <t>SG-01</t>
        </is>
      </c>
      <c r="D6" s="16" t="inlineStr">
        <is>
          <t>Client App lifecycle (refresh + revoke + per-client dashboard)</t>
        </is>
      </c>
      <c r="E6" s="16" t="inlineStr">
        <is>
          <t>components/admin/ClientApps.jsx, api/clients.routes.ts</t>
        </is>
      </c>
      <c r="F6" s="16" t="inlineStr">
        <is>
          <t>Refresh + revoke endpoints; admin sees per-client volume + tier.</t>
        </is>
      </c>
      <c r="G6" s="16" t="inlineStr">
        <is>
          <t>Not Started</t>
        </is>
      </c>
    </row>
    <row r="7">
      <c r="A7" s="15" t="n">
        <v>3</v>
      </c>
      <c r="B7" s="23" t="n">
        <v>46215</v>
      </c>
      <c r="C7" s="15" t="inlineStr">
        <is>
          <t>SG-02</t>
        </is>
      </c>
      <c r="D7" s="15" t="inlineStr">
        <is>
          <t>Entity merge — backend impact analysis</t>
        </is>
      </c>
      <c r="E7" s="15" t="inlineStr">
        <is>
          <t>services/EntityMergeService.ts, api/entities.routes.ts</t>
        </is>
      </c>
      <c r="F7" s="15" t="inlineStr">
        <is>
          <t>POST /:id/merge dry-run returns affected adapters list.</t>
        </is>
      </c>
      <c r="G7" s="15" t="inlineStr">
        <is>
          <t>Not Started</t>
        </is>
      </c>
    </row>
    <row r="8">
      <c r="A8" s="16" t="n">
        <v>4</v>
      </c>
      <c r="B8" s="24" t="n">
        <v>46216</v>
      </c>
      <c r="C8" s="16" t="inlineStr">
        <is>
          <t>SG-02</t>
        </is>
      </c>
      <c r="D8" s="16" t="inlineStr">
        <is>
          <t>Entity merge — UI side-by-side diff</t>
        </is>
      </c>
      <c r="E8" s="16" t="inlineStr">
        <is>
          <t>components/catalog/MergeModal.jsx</t>
        </is>
      </c>
      <c r="F8" s="16" t="inlineStr">
        <is>
          <t>Designer selects 2 entities; diff shown; pick fields to keep.</t>
        </is>
      </c>
      <c r="G8" s="16" t="inlineStr">
        <is>
          <t>Not Started</t>
        </is>
      </c>
    </row>
    <row r="9">
      <c r="A9" s="15" t="n">
        <v>5</v>
      </c>
      <c r="B9" s="23" t="n">
        <v>46217</v>
      </c>
      <c r="C9" s="15" t="inlineStr">
        <is>
          <t>SG-02</t>
        </is>
      </c>
      <c r="D9" s="15" t="inlineStr">
        <is>
          <t>Entity merge — commit + post-merge re-test flag</t>
        </is>
      </c>
      <c r="E9" s="15" t="inlineStr">
        <is>
          <t>services/EntityMergeService.ts (commit), workers/integrationRunner.ts</t>
        </is>
      </c>
      <c r="F9" s="15" t="inlineStr">
        <is>
          <t>On commit, affected integrations flagged; banner on Registry cards.</t>
        </is>
      </c>
      <c r="G9" s="15" t="inlineStr">
        <is>
          <t>Not Started</t>
        </is>
      </c>
    </row>
    <row r="10">
      <c r="A10" s="16" t="n">
        <v>6</v>
      </c>
      <c r="B10" s="24" t="n">
        <v>46218</v>
      </c>
      <c r="C10" s="16" t="inlineStr">
        <is>
          <t>SG-03</t>
        </is>
      </c>
      <c r="D10" s="16" t="inlineStr">
        <is>
          <t>Entity evolution — add/rename field with cascade preview</t>
        </is>
      </c>
      <c r="E10" s="16" t="inlineStr">
        <is>
          <t>services/EntityEvolutionService.ts, components/catalog/AddFieldModal.jsx</t>
        </is>
      </c>
      <c r="F10" s="16" t="inlineStr">
        <is>
          <t>Designer adds field; sees downstream mapping impact before commit.</t>
        </is>
      </c>
      <c r="G10" s="16" t="inlineStr">
        <is>
          <t>Not Started</t>
        </is>
      </c>
    </row>
    <row r="11">
      <c r="A11" s="15" t="n">
        <v>7</v>
      </c>
      <c r="B11" s="23" t="n">
        <v>46219</v>
      </c>
      <c r="C11" s="15" t="inlineStr">
        <is>
          <t>SG-03</t>
        </is>
      </c>
      <c r="D11" s="15" t="inlineStr">
        <is>
          <t>Entity evolution — preview-before-commit + rollback</t>
        </is>
      </c>
      <c r="E11" s="15" t="inlineStr">
        <is>
          <t>services/EntityEvolutionService.ts (rollback)</t>
        </is>
      </c>
      <c r="F11" s="15" t="inlineStr">
        <is>
          <t>Mistakes can be reverted within 1 hour window.</t>
        </is>
      </c>
      <c r="G11" s="15" t="inlineStr">
        <is>
          <t>Not Started</t>
        </is>
      </c>
    </row>
    <row r="12">
      <c r="A12" s="16" t="n">
        <v>8</v>
      </c>
      <c r="B12" s="24" t="n">
        <v>46220</v>
      </c>
      <c r="C12" s="16" t="inlineStr">
        <is>
          <t>SG-04</t>
        </is>
      </c>
      <c r="D12" s="16" t="inlineStr">
        <is>
          <t>Self-healing service (part 1) — diagnose common failures</t>
        </is>
      </c>
      <c r="E12" s="16" t="inlineStr">
        <is>
          <t>services/SelfHealingService.ts</t>
        </is>
      </c>
      <c r="F12" s="16" t="inlineStr">
        <is>
          <t>Failure pattern catalog; LLM-driven root-cause classifier.</t>
        </is>
      </c>
      <c r="G12" s="16" t="inlineStr">
        <is>
          <t>Not Started</t>
        </is>
      </c>
    </row>
    <row r="13">
      <c r="A13" s="15" t="n">
        <v>9</v>
      </c>
      <c r="B13" s="23" t="n">
        <v>46221</v>
      </c>
      <c r="C13" s="15" t="inlineStr">
        <is>
          <t>SG-04</t>
        </is>
      </c>
      <c r="D13" s="15" t="inlineStr">
        <is>
          <t>Self-healing (part 2) — propose fix + dry-run</t>
        </is>
      </c>
      <c r="E13" s="15" t="inlineStr">
        <is>
          <t>services/SelfHealingService.ts (propose)</t>
        </is>
      </c>
      <c r="F13" s="15" t="inlineStr">
        <is>
          <t>Auto-suggested fixes shown to admin; dry-run validates before apply.</t>
        </is>
      </c>
      <c r="G13" s="15" t="inlineStr">
        <is>
          <t>Not Started</t>
        </is>
      </c>
    </row>
    <row r="14">
      <c r="A14" s="16" t="n">
        <v>10</v>
      </c>
      <c r="B14" s="24" t="n">
        <v>46222</v>
      </c>
      <c r="C14" s="16" t="inlineStr">
        <is>
          <t>SG-04</t>
        </is>
      </c>
      <c r="D14" s="16" t="inlineStr">
        <is>
          <t>Self-healing (part 3) — auto-apply opt-in + audit</t>
        </is>
      </c>
      <c r="E14" s="16" t="inlineStr">
        <is>
          <t>services/SelfHealingService.ts (apply), middleware/audit.ts</t>
        </is>
      </c>
      <c r="F14" s="16" t="inlineStr">
        <is>
          <t>Admin opts adapter into auto-apply; every fix logged.</t>
        </is>
      </c>
      <c r="G14" s="16" t="inlineStr">
        <is>
          <t>Not Started</t>
        </is>
      </c>
    </row>
    <row r="15">
      <c r="A15" s="15" t="n">
        <v>11</v>
      </c>
      <c r="B15" s="23" t="n">
        <v>46223</v>
      </c>
      <c r="C15" s="15" t="inlineStr">
        <is>
          <t>SG-04</t>
        </is>
      </c>
      <c r="D15" s="15" t="inlineStr">
        <is>
          <t>Self-healing (part 4) — UI banners + reporting</t>
        </is>
      </c>
      <c r="E15" s="15" t="inlineStr">
        <is>
          <t>components/dashboard/HealingBanner.jsx, components/dashboard/HealingReport.jsx</t>
        </is>
      </c>
      <c r="F15" s="15" t="inlineStr">
        <is>
          <t>Banner on dashboard; weekly self-healing report.</t>
        </is>
      </c>
      <c r="G15" s="15" t="inlineStr">
        <is>
          <t>Not Started</t>
        </is>
      </c>
    </row>
    <row r="16">
      <c r="A16" s="16" t="n">
        <v>12</v>
      </c>
      <c r="B16" s="24" t="n">
        <v>46224</v>
      </c>
      <c r="C16" s="16" t="inlineStr">
        <is>
          <t>SG-05</t>
        </is>
      </c>
      <c r="D16" s="16" t="inlineStr">
        <is>
          <t>Webhook support — outbound adapter</t>
        </is>
      </c>
      <c r="E16" s="16" t="inlineStr">
        <is>
          <t>integrations/webhook/*, services/WebhookPushService.ts</t>
        </is>
      </c>
      <c r="F16" s="16" t="inlineStr">
        <is>
          <t>Outbound webhook with HMAC sign; delivery retry policy.</t>
        </is>
      </c>
      <c r="G16" s="16" t="inlineStr">
        <is>
          <t>Not Started</t>
        </is>
      </c>
    </row>
    <row r="17">
      <c r="A17" s="15" t="n">
        <v>13</v>
      </c>
      <c r="B17" s="23" t="n">
        <v>46225</v>
      </c>
      <c r="C17" s="15" t="inlineStr">
        <is>
          <t>SG-05</t>
        </is>
      </c>
      <c r="D17" s="15" t="inlineStr">
        <is>
          <t>Webhook support — inbound handler + ingest</t>
        </is>
      </c>
      <c r="E17" s="15" t="inlineStr">
        <is>
          <t>api/webhooks.routes.ts (inbound), services/WebhookIngestService.ts</t>
        </is>
      </c>
      <c r="F17" s="15" t="inlineStr">
        <is>
          <t>Inbound webhook validates HMAC; pushes to integration as if API event.</t>
        </is>
      </c>
      <c r="G17" s="15" t="inlineStr">
        <is>
          <t>Not Started</t>
        </is>
      </c>
    </row>
    <row r="18">
      <c r="A18" s="16" t="n">
        <v>14</v>
      </c>
      <c r="B18" s="24" t="n">
        <v>46226</v>
      </c>
      <c r="C18" s="16" t="inlineStr">
        <is>
          <t>SG-06</t>
        </is>
      </c>
      <c r="D18" s="16" t="inlineStr">
        <is>
          <t>Bulk operations — multi-select + actions</t>
        </is>
      </c>
      <c r="E18" s="16" t="inlineStr">
        <is>
          <t>components/registry/RegistryPage.jsx (selection), api/integrations.routes.ts (bulk)</t>
        </is>
      </c>
      <c r="F18" s="16" t="inlineStr">
        <is>
          <t>Select multiple → Pause/Resume/Re-test actions; confirm modal.</t>
        </is>
      </c>
      <c r="G18" s="16" t="inlineStr">
        <is>
          <t>Not Started</t>
        </is>
      </c>
    </row>
    <row r="19">
      <c r="A19" s="15" t="n">
        <v>15</v>
      </c>
      <c r="B19" s="23" t="n">
        <v>46227</v>
      </c>
      <c r="C19" s="15" t="inlineStr">
        <is>
          <t>SG-06</t>
        </is>
      </c>
      <c r="D19" s="15" t="inlineStr">
        <is>
          <t>Bulk operations — batch re-test after entity change</t>
        </is>
      </c>
      <c r="E19" s="15" t="inlineStr">
        <is>
          <t>services/BulkOpsService.ts</t>
        </is>
      </c>
      <c r="F19" s="15" t="inlineStr">
        <is>
          <t>Triggered from entity merge/evolution flow; progress shown.</t>
        </is>
      </c>
      <c r="G19" s="15" t="inlineStr">
        <is>
          <t>Not Started</t>
        </is>
      </c>
    </row>
    <row r="20">
      <c r="A20" s="16" t="n">
        <v>16</v>
      </c>
      <c r="B20" s="24" t="n">
        <v>46228</v>
      </c>
      <c r="C20" s="16" t="inlineStr">
        <is>
          <t>SG-07</t>
        </is>
      </c>
      <c r="D20" s="16" t="inlineStr">
        <is>
          <t>Audit middleware writes — every state-changing route</t>
        </is>
      </c>
      <c r="E20" s="16" t="inlineStr">
        <is>
          <t>middleware/audit.ts, all routes</t>
        </is>
      </c>
      <c r="F20" s="16" t="inlineStr">
        <is>
          <t>Each POST/PATCH/DELETE writes audit row with diff + user + IP.</t>
        </is>
      </c>
      <c r="G20" s="16" t="inlineStr">
        <is>
          <t>Not Started</t>
        </is>
      </c>
    </row>
    <row r="21">
      <c r="A21" s="15" t="n">
        <v>17</v>
      </c>
      <c r="B21" s="23" t="n">
        <v>46229</v>
      </c>
      <c r="C21" s="15" t="inlineStr">
        <is>
          <t>SG-07</t>
        </is>
      </c>
      <c r="D21" s="15" t="inlineStr">
        <is>
          <t>Audit log UI timeline + filters</t>
        </is>
      </c>
      <c r="E21" s="15" t="inlineStr">
        <is>
          <t>components/admin/AuditTimeline.jsx</t>
        </is>
      </c>
      <c r="F21" s="15" t="inlineStr">
        <is>
          <t>Timeline view; filter by user, entity, action; export CSV.</t>
        </is>
      </c>
      <c r="G21" s="15" t="inlineStr">
        <is>
          <t>Not Started</t>
        </is>
      </c>
    </row>
    <row r="22">
      <c r="A22" s="16" t="n">
        <v>18</v>
      </c>
      <c r="B22" s="24" t="n">
        <v>46230</v>
      </c>
      <c r="C22" s="16" t="inlineStr">
        <is>
          <t>SG-08</t>
        </is>
      </c>
      <c r="D22" s="16" t="inlineStr">
        <is>
          <t>Resource-level RBAC — backend</t>
        </is>
      </c>
      <c r="E22" s="16" t="inlineStr">
        <is>
          <t>db/schema.ts (user_overrides), middleware/withRole.ts</t>
        </is>
      </c>
      <c r="F22" s="16" t="inlineStr">
        <is>
          <t>Per-adapter Designer access for an Operator on one connector only.</t>
        </is>
      </c>
      <c r="G22" s="16" t="inlineStr">
        <is>
          <t>Not Started</t>
        </is>
      </c>
    </row>
    <row r="23">
      <c r="A23" s="15" t="n">
        <v>19</v>
      </c>
      <c r="B23" s="23" t="n">
        <v>46231</v>
      </c>
      <c r="C23" s="15" t="inlineStr">
        <is>
          <t>SG-08</t>
        </is>
      </c>
      <c r="D23" s="15" t="inlineStr">
        <is>
          <t>Resource-level RBAC — admin UI</t>
        </is>
      </c>
      <c r="E23" s="15" t="inlineStr">
        <is>
          <t>components/admin/PermissionOverrides.jsx</t>
        </is>
      </c>
      <c r="F23" s="15" t="inlineStr">
        <is>
          <t>Admin grants/revokes resource-level permissions.</t>
        </is>
      </c>
      <c r="G23" s="15" t="inlineStr">
        <is>
          <t>Not Started</t>
        </is>
      </c>
    </row>
    <row r="24">
      <c r="A24" s="16" t="n">
        <v>20</v>
      </c>
      <c r="B24" s="24" t="n">
        <v>46232</v>
      </c>
      <c r="C24" s="16" t="inlineStr">
        <is>
          <t>SG-09</t>
        </is>
      </c>
      <c r="D24" s="16" t="inlineStr">
        <is>
          <t>AI Help Assistant (part 1) — chat backend</t>
        </is>
      </c>
      <c r="E24" s="16" t="inlineStr">
        <is>
          <t>services/HelpAssistantService.ts, api/help.routes.ts</t>
        </is>
      </c>
      <c r="F24" s="16" t="inlineStr">
        <is>
          <t>POST /api/help/ask; LLM with help library + screen state context.</t>
        </is>
      </c>
      <c r="G24" s="16" t="inlineStr">
        <is>
          <t>Not Started</t>
        </is>
      </c>
    </row>
    <row r="25">
      <c r="A25" s="15" t="n">
        <v>21</v>
      </c>
      <c r="B25" s="23" t="n">
        <v>46233</v>
      </c>
      <c r="C25" s="15" t="inlineStr">
        <is>
          <t>SG-09</t>
        </is>
      </c>
      <c r="D25" s="15" t="inlineStr">
        <is>
          <t>AI Help Assistant (part 2) — UI in HelpPanel</t>
        </is>
      </c>
      <c r="E25" s="15" t="inlineStr">
        <is>
          <t>components/layout/HelpPanel.jsx (chat tab)</t>
        </is>
      </c>
      <c r="F25" s="15" t="inlineStr">
        <is>
          <t>Chat tab in help panel; conversational; suggests next steps.</t>
        </is>
      </c>
      <c r="G25" s="15" t="inlineStr">
        <is>
          <t>Not Started</t>
        </is>
      </c>
    </row>
    <row r="26">
      <c r="A26" s="16" t="n">
        <v>22</v>
      </c>
      <c r="B26" s="24" t="n">
        <v>46234</v>
      </c>
      <c r="C26" s="16" t="inlineStr">
        <is>
          <t>SG-09</t>
        </is>
      </c>
      <c r="D26" s="16" t="inlineStr">
        <is>
          <t>AI Help Assistant (part 3) — context awareness</t>
        </is>
      </c>
      <c r="E26" s="16" t="inlineStr">
        <is>
          <t>services/HelpAssistantService.ts (context loader)</t>
        </is>
      </c>
      <c r="F26" s="16" t="inlineStr">
        <is>
          <t>Assistant sees current screen + recent actions; suggests context-aware next steps.</t>
        </is>
      </c>
      <c r="G26" s="16" t="inlineStr">
        <is>
          <t>Not Started</t>
        </is>
      </c>
    </row>
    <row r="27">
      <c r="A27" s="15" t="n">
        <v>23</v>
      </c>
      <c r="B27" s="23" t="n">
        <v>46235</v>
      </c>
      <c r="C27" s="15" t="inlineStr">
        <is>
          <t>SG-09</t>
        </is>
      </c>
      <c r="D27" s="15" t="inlineStr">
        <is>
          <t>AI Help Assistant (part 4) — guardrails + cost cap</t>
        </is>
      </c>
      <c r="E27" s="15" t="inlineStr">
        <is>
          <t>services/HelpAssistantService.ts (rate limit + token cap)</t>
        </is>
      </c>
      <c r="F27" s="15" t="inlineStr">
        <is>
          <t>Per-user daily token cap; rate limit; safety filter on output.</t>
        </is>
      </c>
      <c r="G27" s="15" t="inlineStr">
        <is>
          <t>Not Started</t>
        </is>
      </c>
    </row>
    <row r="28">
      <c r="A28" s="16" t="n">
        <v>24</v>
      </c>
      <c r="B28" s="24" t="n">
        <v>46236</v>
      </c>
      <c r="C28" s="16" t="inlineStr">
        <is>
          <t>SG-10</t>
        </is>
      </c>
      <c r="D28" s="16" t="inlineStr">
        <is>
          <t>Ahrefs destination connector</t>
        </is>
      </c>
      <c r="E28" s="16" t="inlineStr">
        <is>
          <t>integrations/ahrefs/*, services/AhrefsPushService.ts</t>
        </is>
      </c>
      <c r="F28" s="16" t="inlineStr">
        <is>
          <t>REST API + token; rank tracking entity templates; tests.</t>
        </is>
      </c>
      <c r="G28" s="16" t="inlineStr">
        <is>
          <t>Not Started</t>
        </is>
      </c>
    </row>
    <row r="29">
      <c r="A29" s="15" t="n">
        <v>25</v>
      </c>
      <c r="B29" s="23" t="n">
        <v>46237</v>
      </c>
      <c r="C29" s="15" t="inlineStr">
        <is>
          <t>SG-11</t>
        </is>
      </c>
      <c r="D29" s="15" t="inlineStr">
        <is>
          <t>Google Search Console destination</t>
        </is>
      </c>
      <c r="E29" s="15" t="inlineStr">
        <is>
          <t>integrations/gsc/*, services/GSCPushService.ts</t>
        </is>
      </c>
      <c r="F29" s="15" t="inlineStr">
        <is>
          <t>Service account / OAuth; performance + coverage entities.</t>
        </is>
      </c>
      <c r="G29" s="15" t="inlineStr">
        <is>
          <t>Not Started</t>
        </is>
      </c>
    </row>
    <row r="30">
      <c r="A30" s="16" t="n">
        <v>26</v>
      </c>
      <c r="B30" s="24" t="n">
        <v>46238</v>
      </c>
      <c r="C30" s="16" t="inlineStr">
        <is>
          <t>SG-11</t>
        </is>
      </c>
      <c r="D30" s="16" t="inlineStr">
        <is>
          <t>GSC — testing + docs</t>
        </is>
      </c>
      <c r="E30" s="16" t="inlineStr">
        <is>
          <t>__tests__/gsc.test.ts, docs/help/gsc-destination.md</t>
        </is>
      </c>
      <c r="F30" s="16" t="inlineStr">
        <is>
          <t>Vitest green; help article live.</t>
        </is>
      </c>
      <c r="G30" s="16" t="inlineStr">
        <is>
          <t>Not Started</t>
        </is>
      </c>
    </row>
    <row r="31">
      <c r="A31" s="15" t="n">
        <v>27</v>
      </c>
      <c r="B31" s="23" t="n">
        <v>46239</v>
      </c>
      <c r="C31" s="15" t="inlineStr">
        <is>
          <t>SG-12</t>
        </is>
      </c>
      <c r="D31" s="15" t="inlineStr">
        <is>
          <t>Google Adwords destination (part 1) — auth + dev token</t>
        </is>
      </c>
      <c r="E31" s="15" t="inlineStr">
        <is>
          <t>integrations/google-ads/*</t>
        </is>
      </c>
      <c r="F31" s="15" t="inlineStr">
        <is>
          <t>OAuth2 + developer token; refresh token storage.</t>
        </is>
      </c>
      <c r="G31" s="15" t="inlineStr">
        <is>
          <t>Not Started</t>
        </is>
      </c>
    </row>
    <row r="32">
      <c r="A32" s="16" t="n">
        <v>28</v>
      </c>
      <c r="B32" s="24" t="n">
        <v>46240</v>
      </c>
      <c r="C32" s="16" t="inlineStr">
        <is>
          <t>SG-12</t>
        </is>
      </c>
      <c r="D32" s="16" t="inlineStr">
        <is>
          <t>Google Adwords destination (part 2) — campaigns/ad-groups</t>
        </is>
      </c>
      <c r="E32" s="16" t="inlineStr">
        <is>
          <t>integrations/google-ads/templates/*</t>
        </is>
      </c>
      <c r="F32" s="16" t="inlineStr">
        <is>
          <t>Entity templates; create + update via Google Ads API.</t>
        </is>
      </c>
      <c r="G32" s="16" t="inlineStr">
        <is>
          <t>Not Started</t>
        </is>
      </c>
    </row>
    <row r="33">
      <c r="A33" s="15" t="n">
        <v>29</v>
      </c>
      <c r="B33" s="23" t="n">
        <v>46241</v>
      </c>
      <c r="C33" s="15" t="inlineStr">
        <is>
          <t>SG-12</t>
        </is>
      </c>
      <c r="D33" s="15" t="inlineStr">
        <is>
          <t>Google Adwords destination (part 3) — testing + go-live</t>
        </is>
      </c>
      <c r="E33" s="15" t="inlineStr">
        <is>
          <t>__tests__/google-ads.test.ts</t>
        </is>
      </c>
      <c r="F33" s="15" t="inlineStr">
        <is>
          <t>Sandbox account verified; help article live.</t>
        </is>
      </c>
      <c r="G33" s="15" t="inlineStr">
        <is>
          <t>Not Started</t>
        </is>
      </c>
    </row>
    <row r="36">
      <c r="A36" s="3" t="inlineStr">
        <is>
          <t>Days Done</t>
        </is>
      </c>
      <c r="B36" s="3">
        <f>COUNTIF(G5:G33,"Done")</f>
        <v/>
      </c>
      <c r="C36" s="17">
        <f>COUNTIF(G5:G33,"In Progress")</f>
        <v/>
      </c>
      <c r="D36" s="4" t="inlineStr">
        <is>
          <t>In Progress</t>
        </is>
      </c>
    </row>
    <row r="37">
      <c r="A37" s="3" t="inlineStr">
        <is>
          <t>Total Days</t>
        </is>
      </c>
      <c r="B37" s="3" t="n">
        <v>29</v>
      </c>
    </row>
    <row r="38">
      <c r="A38" s="3" t="inlineStr">
        <is>
          <t>% Complete</t>
        </is>
      </c>
      <c r="B38" s="25">
        <f>IFERROR(COUNTIF(G5:G33,"Done")/29,0)</f>
        <v/>
      </c>
    </row>
  </sheetData>
  <conditionalFormatting sqref="G5:G33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G5:G33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38" customWidth="1" min="4" max="4"/>
    <col width="32" customWidth="1" min="5" max="5"/>
    <col width="32" customWidth="1" min="6" max="6"/>
    <col width="14" customWidth="1" min="7" max="7"/>
  </cols>
  <sheetData>
    <row r="1" ht="24" customHeight="1">
      <c r="A1" s="13" t="inlineStr">
        <is>
          <t>Phase 4 — Polish &amp; Distribution</t>
        </is>
      </c>
    </row>
    <row r="2">
      <c r="A2" s="14" t="inlineStr">
        <is>
          <t>Days 96 → 112. Theming + PWA + onboarding + Docker + docs + final QA.</t>
        </is>
      </c>
    </row>
    <row r="4" ht="30" customHeight="1">
      <c r="A4" s="11" t="inlineStr">
        <is>
          <t>Day #</t>
        </is>
      </c>
      <c r="B4" s="11" t="inlineStr">
        <is>
          <t>Calendar Date</t>
        </is>
      </c>
      <c r="C4" s="11" t="inlineStr">
        <is>
          <t>Story ID</t>
        </is>
      </c>
      <c r="D4" s="11" t="inlineStr">
        <is>
          <t>Goal of the Day</t>
        </is>
      </c>
      <c r="E4" s="11" t="inlineStr">
        <is>
          <t>Files Touched</t>
        </is>
      </c>
      <c r="F4" s="11" t="inlineStr">
        <is>
          <t>Test That Proves Done</t>
        </is>
      </c>
      <c r="G4" s="11" t="inlineStr">
        <is>
          <t>Status</t>
        </is>
      </c>
    </row>
    <row r="5">
      <c r="A5" s="15" t="n">
        <v>1</v>
      </c>
      <c r="B5" s="23" t="n">
        <v>46242</v>
      </c>
      <c r="C5" s="15" t="inlineStr">
        <is>
          <t>P4-01</t>
        </is>
      </c>
      <c r="D5" s="15" t="inlineStr">
        <is>
          <t>Theme engine (light/dark + custom logo upload)</t>
        </is>
      </c>
      <c r="E5" s="15" t="inlineStr">
        <is>
          <t>contexts/ThemeContext.jsx, components/admin/BrandingTab.jsx</t>
        </is>
      </c>
      <c r="F5" s="15" t="inlineStr">
        <is>
          <t>Toggle persists per user; logo upload validated + stored.</t>
        </is>
      </c>
      <c r="G5" s="15" t="inlineStr">
        <is>
          <t>Not Started</t>
        </is>
      </c>
    </row>
    <row r="6">
      <c r="A6" s="16" t="n">
        <v>2</v>
      </c>
      <c r="B6" s="24" t="n">
        <v>46243</v>
      </c>
      <c r="C6" s="16" t="inlineStr">
        <is>
          <t>P4-02</t>
        </is>
      </c>
      <c r="D6" s="16" t="inlineStr">
        <is>
          <t>Mobile PWA — manifest + service worker</t>
        </is>
      </c>
      <c r="E6" s="16" t="inlineStr">
        <is>
          <t>public/manifest.json, src/serviceWorker.js</t>
        </is>
      </c>
      <c r="F6" s="16" t="inlineStr">
        <is>
          <t>Lighthouse PWA score &gt;90; installable on Android.</t>
        </is>
      </c>
      <c r="G6" s="16" t="inlineStr">
        <is>
          <t>Not Started</t>
        </is>
      </c>
    </row>
    <row r="7">
      <c r="A7" s="15" t="n">
        <v>3</v>
      </c>
      <c r="B7" s="23" t="n">
        <v>46244</v>
      </c>
      <c r="C7" s="15" t="inlineStr">
        <is>
          <t>P4-02</t>
        </is>
      </c>
      <c r="D7" s="15" t="inlineStr">
        <is>
          <t>Mobile PWA — responsive break-points</t>
        </is>
      </c>
      <c r="E7" s="15" t="inlineStr">
        <is>
          <t>src/styles.css (media queries)</t>
        </is>
      </c>
      <c r="F7" s="15" t="inlineStr">
        <is>
          <t>Dashboard + Monitor + Alerts usable on tablet (768px) and phone (375px).</t>
        </is>
      </c>
      <c r="G7" s="15" t="inlineStr">
        <is>
          <t>Not Started</t>
        </is>
      </c>
    </row>
    <row r="8">
      <c r="A8" s="16" t="n">
        <v>4</v>
      </c>
      <c r="B8" s="24" t="n">
        <v>46245</v>
      </c>
      <c r="C8" s="16" t="inlineStr">
        <is>
          <t>P4-02</t>
        </is>
      </c>
      <c r="D8" s="16" t="inlineStr">
        <is>
          <t>Mobile PWA — offline fallback for critical pages</t>
        </is>
      </c>
      <c r="E8" s="16" t="inlineStr">
        <is>
          <t>src/serviceWorker.js (cache strategies)</t>
        </is>
      </c>
      <c r="F8" s="16" t="inlineStr">
        <is>
          <t>Last-seen Health Dashboard renders offline.</t>
        </is>
      </c>
      <c r="G8" s="16" t="inlineStr">
        <is>
          <t>Not Started</t>
        </is>
      </c>
    </row>
    <row r="9">
      <c r="A9" s="15" t="n">
        <v>5</v>
      </c>
      <c r="B9" s="23" t="n">
        <v>46246</v>
      </c>
      <c r="C9" s="15" t="inlineStr">
        <is>
          <t>P4-03</t>
        </is>
      </c>
      <c r="D9" s="15" t="inlineStr">
        <is>
          <t>Onboarding wizard (part 1) — 5-step welcome</t>
        </is>
      </c>
      <c r="E9" s="15" t="inlineStr">
        <is>
          <t>components/onboarding/OnboardingWizard.jsx</t>
        </is>
      </c>
      <c r="F9" s="15" t="inlineStr">
        <is>
          <t>First-login users walk through 5 screens; skip + replay.</t>
        </is>
      </c>
      <c r="G9" s="15" t="inlineStr">
        <is>
          <t>Not Started</t>
        </is>
      </c>
    </row>
    <row r="10">
      <c r="A10" s="16" t="n">
        <v>6</v>
      </c>
      <c r="B10" s="24" t="n">
        <v>46247</v>
      </c>
      <c r="C10" s="16" t="inlineStr">
        <is>
          <t>P4-03</t>
        </is>
      </c>
      <c r="D10" s="16" t="inlineStr">
        <is>
          <t>Onboarding wizard (part 2) — sample data + sandbox</t>
        </is>
      </c>
      <c r="E10" s="16" t="inlineStr">
        <is>
          <t>components/onboarding/SampleData.jsx</t>
        </is>
      </c>
      <c r="F10" s="16" t="inlineStr">
        <is>
          <t>User can spin up demo Jira→SP integration in &lt;2 minutes.</t>
        </is>
      </c>
      <c r="G10" s="16" t="inlineStr">
        <is>
          <t>Not Started</t>
        </is>
      </c>
    </row>
    <row r="11">
      <c r="A11" s="15" t="n">
        <v>7</v>
      </c>
      <c r="B11" s="23" t="n">
        <v>46248</v>
      </c>
      <c r="C11" s="15" t="inlineStr">
        <is>
          <t>P4-04</t>
        </is>
      </c>
      <c r="D11" s="15" t="inlineStr">
        <is>
          <t>Docker image build + compose</t>
        </is>
      </c>
      <c r="E11" s="15" t="inlineStr">
        <is>
          <t>Dockerfile, docker-compose.prod.yml</t>
        </is>
      </c>
      <c r="F11" s="15" t="inlineStr">
        <is>
          <t>Single image runs FE + BE; compose includes Postgres + Redis.</t>
        </is>
      </c>
      <c r="G11" s="15" t="inlineStr">
        <is>
          <t>Not Started</t>
        </is>
      </c>
    </row>
    <row r="12">
      <c r="A12" s="16" t="n">
        <v>8</v>
      </c>
      <c r="B12" s="24" t="n">
        <v>46249</v>
      </c>
      <c r="C12" s="16" t="inlineStr">
        <is>
          <t>P4-04</t>
        </is>
      </c>
      <c r="D12" s="16" t="inlineStr">
        <is>
          <t>One-command deploy script + .env.template</t>
        </is>
      </c>
      <c r="E12" s="16" t="inlineStr">
        <is>
          <t>scripts/deploy.sh, .env.template</t>
        </is>
      </c>
      <c r="F12" s="16" t="inlineStr">
        <is>
          <t>Fresh server: docker compose up reaches healthy state.</t>
        </is>
      </c>
      <c r="G12" s="16" t="inlineStr">
        <is>
          <t>Not Started</t>
        </is>
      </c>
    </row>
    <row r="13">
      <c r="A13" s="15" t="n">
        <v>9</v>
      </c>
      <c r="B13" s="23" t="n">
        <v>46250</v>
      </c>
      <c r="C13" s="15" t="inlineStr">
        <is>
          <t>P4-05</t>
        </is>
      </c>
      <c r="D13" s="15" t="inlineStr">
        <is>
          <t>Architecture guide + ADRs</t>
        </is>
      </c>
      <c r="E13" s="15" t="inlineStr">
        <is>
          <t>docs/architecture.md, docs/adr/*.md</t>
        </is>
      </c>
      <c r="F13" s="15" t="inlineStr">
        <is>
          <t>ADRs for auth, RBAC, sandboxing, AI mapping, encryption.</t>
        </is>
      </c>
      <c r="G13" s="15" t="inlineStr">
        <is>
          <t>Not Started</t>
        </is>
      </c>
    </row>
    <row r="14">
      <c r="A14" s="16" t="n">
        <v>10</v>
      </c>
      <c r="B14" s="24" t="n">
        <v>46251</v>
      </c>
      <c r="C14" s="16" t="inlineStr">
        <is>
          <t>P4-06</t>
        </is>
      </c>
      <c r="D14" s="16" t="inlineStr">
        <is>
          <t>User manual — Operator guide</t>
        </is>
      </c>
      <c r="E14" s="16" t="inlineStr">
        <is>
          <t>docs/user-manual/operator.md (+ screenshots)</t>
        </is>
      </c>
      <c r="F14" s="16" t="inlineStr">
        <is>
          <t>Step-by-step with screenshots; reviewed by 1 BA.</t>
        </is>
      </c>
      <c r="G14" s="16" t="inlineStr">
        <is>
          <t>Not Started</t>
        </is>
      </c>
    </row>
    <row r="15">
      <c r="A15" s="15" t="n">
        <v>11</v>
      </c>
      <c r="B15" s="23" t="n">
        <v>46252</v>
      </c>
      <c r="C15" s="15" t="inlineStr">
        <is>
          <t>P4-06</t>
        </is>
      </c>
      <c r="D15" s="15" t="inlineStr">
        <is>
          <t>User manual — Designer + Admin guides</t>
        </is>
      </c>
      <c r="E15" s="15" t="inlineStr">
        <is>
          <t>docs/user-manual/{designer,admin}.md</t>
        </is>
      </c>
      <c r="F15" s="15" t="inlineStr">
        <is>
          <t>All three guides published; cross-linked from Help panel.</t>
        </is>
      </c>
      <c r="G15" s="15" t="inlineStr">
        <is>
          <t>Not Started</t>
        </is>
      </c>
    </row>
    <row r="16">
      <c r="A16" s="16" t="n">
        <v>12</v>
      </c>
      <c r="B16" s="24" t="n">
        <v>46253</v>
      </c>
      <c r="C16" s="16" t="inlineStr">
        <is>
          <t>P4-07</t>
        </is>
      </c>
      <c r="D16" s="16" t="inlineStr">
        <is>
          <t>API reference (OpenAPI auto-gen)</t>
        </is>
      </c>
      <c r="E16" s="16" t="inlineStr">
        <is>
          <t>scripts/generate-openapi.js, docs/api/*</t>
        </is>
      </c>
      <c r="F16" s="16" t="inlineStr">
        <is>
          <t>OpenAPI YAML generated from routes; published as Redoc site.</t>
        </is>
      </c>
      <c r="G16" s="16" t="inlineStr">
        <is>
          <t>Not Started</t>
        </is>
      </c>
    </row>
    <row r="17">
      <c r="A17" s="15" t="n">
        <v>13</v>
      </c>
      <c r="B17" s="23" t="n">
        <v>46254</v>
      </c>
      <c r="C17" s="15" t="inlineStr">
        <is>
          <t>P4-08</t>
        </is>
      </c>
      <c r="D17" s="15" t="inlineStr">
        <is>
          <t>Handover package (zip everything)</t>
        </is>
      </c>
      <c r="E17" s="15" t="inlineStr">
        <is>
          <t>scripts/handover-pack.sh</t>
        </is>
      </c>
      <c r="F17" s="15" t="inlineStr">
        <is>
          <t>Single archive: BRD + plan + manuals + ADRs + runbook.</t>
        </is>
      </c>
      <c r="G17" s="15" t="inlineStr">
        <is>
          <t>Not Started</t>
        </is>
      </c>
    </row>
    <row r="18">
      <c r="A18" s="16" t="n">
        <v>14</v>
      </c>
      <c r="B18" s="24" t="n">
        <v>46255</v>
      </c>
      <c r="C18" s="16" t="inlineStr">
        <is>
          <t>P4-09</t>
        </is>
      </c>
      <c r="D18" s="16" t="inlineStr">
        <is>
          <t>Final QA — Playwright e2e suite (part 1)</t>
        </is>
      </c>
      <c r="E18" s="16" t="inlineStr">
        <is>
          <t>e2e/*.spec.ts (Wizard, Mapping, Push)</t>
        </is>
      </c>
      <c r="F18" s="16" t="inlineStr">
        <is>
          <t>5 critical flows green in &lt;10 min CI run.</t>
        </is>
      </c>
      <c r="G18" s="16" t="inlineStr">
        <is>
          <t>Not Started</t>
        </is>
      </c>
    </row>
    <row r="19">
      <c r="A19" s="15" t="n">
        <v>15</v>
      </c>
      <c r="B19" s="23" t="n">
        <v>46256</v>
      </c>
      <c r="C19" s="15" t="inlineStr">
        <is>
          <t>P4-09</t>
        </is>
      </c>
      <c r="D19" s="15" t="inlineStr">
        <is>
          <t>Final QA — Playwright e2e (part 2 — Admin + Alerts)</t>
        </is>
      </c>
      <c r="E19" s="15" t="inlineStr">
        <is>
          <t>e2e/admin.spec.ts, e2e/alerts.spec.ts</t>
        </is>
      </c>
      <c r="F19" s="15" t="inlineStr">
        <is>
          <t>User mgmt + alert flow tests green.</t>
        </is>
      </c>
      <c r="G19" s="15" t="inlineStr">
        <is>
          <t>Not Started</t>
        </is>
      </c>
    </row>
    <row r="20">
      <c r="A20" s="16" t="n">
        <v>16</v>
      </c>
      <c r="B20" s="24" t="n">
        <v>46257</v>
      </c>
      <c r="C20" s="16" t="inlineStr">
        <is>
          <t>P4-09</t>
        </is>
      </c>
      <c r="D20" s="16" t="inlineStr">
        <is>
          <t>Final QA — Playwright e2e (part 3 — multi-connector regression)</t>
        </is>
      </c>
      <c r="E20" s="16" t="inlineStr">
        <is>
          <t>e2e/multi-connector.spec.ts</t>
        </is>
      </c>
      <c r="F20" s="16" t="inlineStr">
        <is>
          <t>Dynamics, PostgreSQL, Excel, Keka, TARA, TFS, GSC sample paths green.</t>
        </is>
      </c>
      <c r="G20" s="16" t="inlineStr">
        <is>
          <t>Not Started</t>
        </is>
      </c>
    </row>
    <row r="21">
      <c r="A21" s="15" t="n">
        <v>17</v>
      </c>
      <c r="B21" s="23" t="n">
        <v>46258</v>
      </c>
      <c r="C21" s="15" t="inlineStr">
        <is>
          <t>P4-09</t>
        </is>
      </c>
      <c r="D21" s="15" t="inlineStr">
        <is>
          <t>Final go-live demo + retrospective</t>
        </is>
      </c>
      <c r="E21" s="15" t="inlineStr">
        <is>
          <t>—</t>
        </is>
      </c>
      <c r="F21" s="15" t="inlineStr">
        <is>
          <t>Demo to stakeholders; lessons-learned log captured.</t>
        </is>
      </c>
      <c r="G21" s="15" t="inlineStr">
        <is>
          <t>Not Started</t>
        </is>
      </c>
    </row>
    <row r="24">
      <c r="A24" s="3" t="inlineStr">
        <is>
          <t>Days Done</t>
        </is>
      </c>
      <c r="B24" s="3">
        <f>COUNTIF(G5:G21,"Done")</f>
        <v/>
      </c>
      <c r="C24" s="17">
        <f>COUNTIF(G5:G21,"In Progress")</f>
        <v/>
      </c>
      <c r="D24" s="4" t="inlineStr">
        <is>
          <t>In Progress</t>
        </is>
      </c>
    </row>
    <row r="25">
      <c r="A25" s="3" t="inlineStr">
        <is>
          <t>Total Days</t>
        </is>
      </c>
      <c r="B25" s="3" t="n">
        <v>17</v>
      </c>
    </row>
    <row r="26">
      <c r="A26" s="3" t="inlineStr">
        <is>
          <t>% Complete</t>
        </is>
      </c>
      <c r="B26" s="25">
        <f>IFERROR(COUNTIF(G5:G21,"Done")/17,0)</f>
        <v/>
      </c>
    </row>
  </sheetData>
  <conditionalFormatting sqref="G5:G2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G5:G21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14" customWidth="1" min="5" max="5"/>
    <col width="60" customWidth="1" min="6" max="6"/>
    <col width="14" customWidth="1" min="7" max="7"/>
  </cols>
  <sheetData>
    <row r="1" ht="24" customHeight="1">
      <c r="A1" s="13" t="inlineStr">
        <is>
          <t>Milestones &amp; Demos</t>
        </is>
      </c>
    </row>
    <row r="2">
      <c r="A2" s="14" t="inlineStr">
        <is>
          <t>Key checkpoint dates calibrated to the day plans. Update Status as each is reached.</t>
        </is>
      </c>
    </row>
    <row r="4" ht="30" customHeight="1">
      <c r="A4" s="11" t="inlineStr">
        <is>
          <t>#</t>
        </is>
      </c>
      <c r="B4" s="11" t="inlineStr">
        <is>
          <t>Milestone</t>
        </is>
      </c>
      <c r="C4" s="11" t="inlineStr">
        <is>
          <t>Phase</t>
        </is>
      </c>
      <c r="D4" s="11" t="inlineStr">
        <is>
          <t>Day #</t>
        </is>
      </c>
      <c r="E4" s="11" t="inlineStr">
        <is>
          <t>Calendar Date</t>
        </is>
      </c>
      <c r="F4" s="11" t="inlineStr">
        <is>
          <t>Outcome / Demo Script</t>
        </is>
      </c>
      <c r="G4" s="11" t="inlineStr">
        <is>
          <t>Status</t>
        </is>
      </c>
    </row>
    <row r="5">
      <c r="A5" s="15" t="n">
        <v>1</v>
      </c>
      <c r="B5" s="15" t="inlineStr">
        <is>
          <t>Auth + RBAC live</t>
        </is>
      </c>
      <c r="C5" s="15" t="inlineStr">
        <is>
          <t>P2</t>
        </is>
      </c>
      <c r="D5" s="15" t="n">
        <v>5</v>
      </c>
      <c r="E5" s="23" t="n">
        <v>46151</v>
      </c>
      <c r="F5" s="15" t="inlineStr">
        <is>
          <t>Login screen works; protected routes enforce role; audit log captures auth events.</t>
        </is>
      </c>
      <c r="G5" s="15" t="inlineStr">
        <is>
          <t>Not Started</t>
        </is>
      </c>
    </row>
    <row r="6">
      <c r="A6" s="16" t="n">
        <v>2</v>
      </c>
      <c r="B6" s="16" t="inlineStr">
        <is>
          <t>Frontend wired (Dashboard, Registry, Vault, Admin)</t>
        </is>
      </c>
      <c r="C6" s="16" t="inlineStr">
        <is>
          <t>P2</t>
        </is>
      </c>
      <c r="D6" s="16" t="n">
        <v>11</v>
      </c>
      <c r="E6" s="24" t="n">
        <v>46157</v>
      </c>
      <c r="F6" s="16" t="inlineStr">
        <is>
          <t>End of Foundation week — no more mock data on these pages.</t>
        </is>
      </c>
      <c r="G6" s="16" t="inlineStr">
        <is>
          <t>Not Started</t>
        </is>
      </c>
    </row>
    <row r="7">
      <c r="A7" s="15" t="n">
        <v>3</v>
      </c>
      <c r="B7" s="15" t="inlineStr">
        <is>
          <t>Connector Studio enabled</t>
        </is>
      </c>
      <c r="C7" s="15" t="inlineStr">
        <is>
          <t>P2</t>
        </is>
      </c>
      <c r="D7" s="15" t="n">
        <v>20</v>
      </c>
      <c r="E7" s="23" t="n">
        <v>46166</v>
      </c>
      <c r="F7" s="15" t="inlineStr">
        <is>
          <t>Designer can publish a new REST connector end-to-end (Test → Publish → appears in Registry).</t>
        </is>
      </c>
      <c r="G7" s="15" t="inlineStr">
        <is>
          <t>Not Started</t>
        </is>
      </c>
    </row>
    <row r="8">
      <c r="A8" s="16" t="n">
        <v>4</v>
      </c>
      <c r="B8" s="16" t="inlineStr">
        <is>
          <t>Master Catalog read-mode live</t>
        </is>
      </c>
      <c r="C8" s="16" t="inlineStr">
        <is>
          <t>P2</t>
        </is>
      </c>
      <c r="D8" s="16" t="n">
        <v>24</v>
      </c>
      <c r="E8" s="24" t="n">
        <v>46170</v>
      </c>
      <c r="F8" s="16" t="inlineStr">
        <is>
          <t>CatalogPage shows real entities + field usage; cross-references work.</t>
        </is>
      </c>
      <c r="G8" s="16" t="inlineStr">
        <is>
          <t>Not Started</t>
        </is>
      </c>
    </row>
    <row r="9">
      <c r="A9" s="15" t="n">
        <v>5</v>
      </c>
      <c r="B9" s="15" t="inlineStr">
        <is>
          <t>AI Auto-Map demo</t>
        </is>
      </c>
      <c r="C9" s="15" t="inlineStr">
        <is>
          <t>P2</t>
        </is>
      </c>
      <c r="D9" s="15" t="n">
        <v>32</v>
      </c>
      <c r="E9" s="23" t="n">
        <v>46178</v>
      </c>
      <c r="F9" s="15" t="inlineStr">
        <is>
          <t>Wizard step 4 / Canvas: AI suggestions, NL transforms, sandbox transformations applied to a real push.</t>
        </is>
      </c>
      <c r="G9" s="15" t="inlineStr">
        <is>
          <t>Not Started</t>
        </is>
      </c>
    </row>
    <row r="10">
      <c r="A10" s="16" t="n">
        <v>6</v>
      </c>
      <c r="B10" s="16" t="inlineStr">
        <is>
          <t>Trading Console + Health Dashboard live</t>
        </is>
      </c>
      <c r="C10" s="16" t="inlineStr">
        <is>
          <t>P2</t>
        </is>
      </c>
      <c r="D10" s="16" t="n">
        <v>37</v>
      </c>
      <c r="E10" s="24" t="n">
        <v>46183</v>
      </c>
      <c r="F10" s="16" t="inlineStr">
        <is>
          <t>Real-time message stream visible; KPI tiles + charts populated; pause-and-inspect demo.</t>
        </is>
      </c>
      <c r="G10" s="16" t="inlineStr">
        <is>
          <t>Not Started</t>
        </is>
      </c>
    </row>
    <row r="11">
      <c r="A11" s="15" t="n">
        <v>7</v>
      </c>
      <c r="B11" s="15" t="inlineStr">
        <is>
          <t>Alerts dispatching (in-app + email)</t>
        </is>
      </c>
      <c r="C11" s="15" t="inlineStr">
        <is>
          <t>P2</t>
        </is>
      </c>
      <c r="D11" s="15" t="n">
        <v>42</v>
      </c>
      <c r="E11" s="23" t="n">
        <v>46188</v>
      </c>
      <c r="F11" s="15" t="inlineStr">
        <is>
          <t>Manufactured failure → email to Operator + Designer within 5 minutes.</t>
        </is>
      </c>
      <c r="G11" s="15" t="inlineStr">
        <is>
          <t>Not Started</t>
        </is>
      </c>
    </row>
    <row r="12">
      <c r="A12" s="16" t="n">
        <v>8</v>
      </c>
      <c r="B12" s="16" t="inlineStr">
        <is>
          <t>Multi-source demo (PostgreSQL + Excel)</t>
        </is>
      </c>
      <c r="C12" s="16" t="inlineStr">
        <is>
          <t>P2</t>
        </is>
      </c>
      <c r="D12" s="16" t="n">
        <v>50</v>
      </c>
      <c r="E12" s="24" t="n">
        <v>46196</v>
      </c>
      <c r="F12" s="16" t="inlineStr">
        <is>
          <t>Two new sources demoed; same wizard flow as Jira.</t>
        </is>
      </c>
      <c r="G12" s="16" t="inlineStr">
        <is>
          <t>Not Started</t>
        </is>
      </c>
    </row>
    <row r="13">
      <c r="A13" s="15" t="n">
        <v>9</v>
      </c>
      <c r="B13" s="15" t="inlineStr">
        <is>
          <t>Dynamics + Keka + TARA online</t>
        </is>
      </c>
      <c r="C13" s="15" t="inlineStr">
        <is>
          <t>P2</t>
        </is>
      </c>
      <c r="D13" s="15" t="n">
        <v>60</v>
      </c>
      <c r="E13" s="23" t="n">
        <v>46206</v>
      </c>
      <c r="F13" s="15" t="inlineStr">
        <is>
          <t>Three more sources live; coverage matrix updated.</t>
        </is>
      </c>
      <c r="G13" s="15" t="inlineStr">
        <is>
          <t>Not Started</t>
        </is>
      </c>
    </row>
    <row r="14">
      <c r="A14" s="16" t="n">
        <v>10</v>
      </c>
      <c r="B14" s="16" t="inlineStr">
        <is>
          <t>TFS + Holiday Tracker destinations</t>
        </is>
      </c>
      <c r="C14" s="16" t="inlineStr">
        <is>
          <t>P2</t>
        </is>
      </c>
      <c r="D14" s="16" t="n">
        <v>65</v>
      </c>
      <c r="E14" s="24" t="n">
        <v>46211</v>
      </c>
      <c r="F14" s="16" t="inlineStr">
        <is>
          <t>Two destinations beyond SharePoint live; Jira→TFS demo.</t>
        </is>
      </c>
      <c r="G14" s="16" t="inlineStr">
        <is>
          <t>Not Started</t>
        </is>
      </c>
    </row>
    <row r="15">
      <c r="A15" s="15" t="n">
        <v>11</v>
      </c>
      <c r="B15" s="15" t="inlineStr">
        <is>
          <t>Web Scraping (Apify + Playwright)</t>
        </is>
      </c>
      <c r="C15" s="15" t="inlineStr">
        <is>
          <t>P2</t>
        </is>
      </c>
      <c r="D15" s="15" t="n">
        <v>66</v>
      </c>
      <c r="E15" s="23" t="n">
        <v>46212</v>
      </c>
      <c r="F15" s="15" t="inlineStr">
        <is>
          <t>End of Phase 2. One Apify and one Playwright scraping connector running on a schedule.</t>
        </is>
      </c>
      <c r="G15" s="15" t="inlineStr">
        <is>
          <t>Not Started</t>
        </is>
      </c>
    </row>
    <row r="16">
      <c r="A16" s="16" t="n">
        <v>12</v>
      </c>
      <c r="B16" s="16" t="inlineStr">
        <is>
          <t>Client App Registration + bulk ops</t>
        </is>
      </c>
      <c r="C16" s="16" t="inlineStr">
        <is>
          <t>P3</t>
        </is>
      </c>
      <c r="D16" s="16" t="n">
        <v>72</v>
      </c>
      <c r="E16" s="24" t="n">
        <v>46218</v>
      </c>
      <c r="F16" s="16" t="inlineStr">
        <is>
          <t>External app registers, gets token, calls API; bulk pause demoed.</t>
        </is>
      </c>
      <c r="G16" s="16" t="inlineStr">
        <is>
          <t>Not Started</t>
        </is>
      </c>
    </row>
    <row r="17">
      <c r="A17" s="15" t="n">
        <v>13</v>
      </c>
      <c r="B17" s="15" t="inlineStr">
        <is>
          <t>Entity merge + evolution</t>
        </is>
      </c>
      <c r="C17" s="15" t="inlineStr">
        <is>
          <t>P3</t>
        </is>
      </c>
      <c r="D17" s="15" t="n">
        <v>78</v>
      </c>
      <c r="E17" s="23" t="n">
        <v>46224</v>
      </c>
      <c r="F17" s="15" t="inlineStr">
        <is>
          <t>Two overlapping entities merged with impact preview; field added with cascade.</t>
        </is>
      </c>
      <c r="G17" s="15" t="inlineStr">
        <is>
          <t>Not Started</t>
        </is>
      </c>
    </row>
    <row r="18">
      <c r="A18" s="16" t="n">
        <v>14</v>
      </c>
      <c r="B18" s="16" t="inlineStr">
        <is>
          <t>Self-healing live</t>
        </is>
      </c>
      <c r="C18" s="16" t="inlineStr">
        <is>
          <t>P3</t>
        </is>
      </c>
      <c r="D18" s="16" t="n">
        <v>84</v>
      </c>
      <c r="E18" s="24" t="n">
        <v>46230</v>
      </c>
      <c r="F18" s="16" t="inlineStr">
        <is>
          <t>Common failure auto-fixed in dry-run; admin opts adapter into auto-apply.</t>
        </is>
      </c>
      <c r="G18" s="16" t="inlineStr">
        <is>
          <t>Not Started</t>
        </is>
      </c>
    </row>
    <row r="19">
      <c r="A19" s="15" t="n">
        <v>15</v>
      </c>
      <c r="B19" s="15" t="inlineStr">
        <is>
          <t>AI Help Assistant</t>
        </is>
      </c>
      <c r="C19" s="15" t="inlineStr">
        <is>
          <t>P3</t>
        </is>
      </c>
      <c r="D19" s="15" t="n">
        <v>92</v>
      </c>
      <c r="E19" s="23" t="n">
        <v>46238</v>
      </c>
      <c r="F19" s="15" t="inlineStr">
        <is>
          <t>Conversational help with screen-state context; demo end-to-end.</t>
        </is>
      </c>
      <c r="G19" s="15" t="inlineStr">
        <is>
          <t>Not Started</t>
        </is>
      </c>
    </row>
    <row r="20">
      <c r="A20" s="16" t="n">
        <v>16</v>
      </c>
      <c r="B20" s="16" t="inlineStr">
        <is>
          <t>Phase 3 destinations (Ahrefs + GSC + Adwords)</t>
        </is>
      </c>
      <c r="C20" s="16" t="inlineStr">
        <is>
          <t>P3</t>
        </is>
      </c>
      <c r="D20" s="16" t="n">
        <v>95</v>
      </c>
      <c r="E20" s="24" t="n">
        <v>46241</v>
      </c>
      <c r="F20" s="16" t="inlineStr">
        <is>
          <t>End of Phase 3. All charter destinations on the board.</t>
        </is>
      </c>
      <c r="G20" s="16" t="inlineStr">
        <is>
          <t>Not Started</t>
        </is>
      </c>
    </row>
    <row r="21">
      <c r="A21" s="15" t="n">
        <v>17</v>
      </c>
      <c r="B21" s="15" t="inlineStr">
        <is>
          <t>Theme engine + PWA</t>
        </is>
      </c>
      <c r="C21" s="15" t="inlineStr">
        <is>
          <t>P4</t>
        </is>
      </c>
      <c r="D21" s="15" t="n">
        <v>99</v>
      </c>
      <c r="E21" s="23" t="n">
        <v>46245</v>
      </c>
      <c r="F21" s="15" t="inlineStr">
        <is>
          <t>Light/dark toggle; install on phone; offline Health Dashboard.</t>
        </is>
      </c>
      <c r="G21" s="15" t="inlineStr">
        <is>
          <t>Not Started</t>
        </is>
      </c>
    </row>
    <row r="22">
      <c r="A22" s="16" t="n">
        <v>18</v>
      </c>
      <c r="B22" s="16" t="inlineStr">
        <is>
          <t>Onboarding wizard live</t>
        </is>
      </c>
      <c r="C22" s="16" t="inlineStr">
        <is>
          <t>P4</t>
        </is>
      </c>
      <c r="D22" s="16" t="n">
        <v>101</v>
      </c>
      <c r="E22" s="24" t="n">
        <v>46247</v>
      </c>
      <c r="F22" s="16" t="inlineStr">
        <is>
          <t>First-login flow demoed; new user gets to a sample integration in &lt;2 min.</t>
        </is>
      </c>
      <c r="G22" s="16" t="inlineStr">
        <is>
          <t>Not Started</t>
        </is>
      </c>
    </row>
    <row r="23">
      <c r="A23" s="15" t="n">
        <v>19</v>
      </c>
      <c r="B23" s="15" t="inlineStr">
        <is>
          <t>Docker one-command deploy</t>
        </is>
      </c>
      <c r="C23" s="15" t="inlineStr">
        <is>
          <t>P4</t>
        </is>
      </c>
      <c r="D23" s="15" t="n">
        <v>103</v>
      </c>
      <c r="E23" s="23" t="n">
        <v>46249</v>
      </c>
      <c r="F23" s="15" t="inlineStr">
        <is>
          <t>Fresh VM → docker compose up → app reachable + healthy.</t>
        </is>
      </c>
      <c r="G23" s="15" t="inlineStr">
        <is>
          <t>Not Started</t>
        </is>
      </c>
    </row>
    <row r="24">
      <c r="A24" s="16" t="n">
        <v>20</v>
      </c>
      <c r="B24" s="16" t="inlineStr">
        <is>
          <t>Handover package + docs complete</t>
        </is>
      </c>
      <c r="C24" s="16" t="inlineStr">
        <is>
          <t>P4</t>
        </is>
      </c>
      <c r="D24" s="16" t="n">
        <v>108</v>
      </c>
      <c r="E24" s="24" t="n">
        <v>46254</v>
      </c>
      <c r="F24" s="16" t="inlineStr">
        <is>
          <t>Architecture guide + 3 user manuals + API ref + handover zip.</t>
        </is>
      </c>
      <c r="G24" s="16" t="inlineStr">
        <is>
          <t>Not Started</t>
        </is>
      </c>
    </row>
    <row r="25">
      <c r="A25" s="15" t="n">
        <v>21</v>
      </c>
      <c r="B25" s="15" t="inlineStr">
        <is>
          <t>Production handover demo</t>
        </is>
      </c>
      <c r="C25" s="15" t="inlineStr">
        <is>
          <t>P4</t>
        </is>
      </c>
      <c r="D25" s="15" t="n">
        <v>112</v>
      </c>
      <c r="E25" s="23" t="n">
        <v>46258</v>
      </c>
      <c r="F25" s="15" t="inlineStr">
        <is>
          <t>Final stakeholder demo; project plan signed off.</t>
        </is>
      </c>
      <c r="G25" s="15" t="inlineStr">
        <is>
          <t>Not Started</t>
        </is>
      </c>
    </row>
  </sheetData>
  <conditionalFormatting sqref="G5:G2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G5:G25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M31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8" customWidth="1" min="3" max="3"/>
    <col width="8" customWidth="1" min="4" max="4"/>
    <col width="8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</cols>
  <sheetData>
    <row r="1" ht="24" customHeight="1">
      <c r="A1" s="13" t="inlineStr">
        <is>
          <t>Gantt — Epic Timeline</t>
        </is>
      </c>
    </row>
    <row r="2">
      <c r="A2" s="14" t="inlineStr">
        <is>
          <t>Total span: Day 1 → Day 112 (2026-05-05 → 2026-08-24). Bars filled in NAVY; phase bands in DEEP/ORANGE.</t>
        </is>
      </c>
    </row>
    <row r="4" ht="24" customHeight="1">
      <c r="A4" s="11" t="inlineStr">
        <is>
          <t>Epic</t>
        </is>
      </c>
      <c r="B4" s="11" t="inlineStr">
        <is>
          <t>Phase</t>
        </is>
      </c>
      <c r="C4" s="11" t="inlineStr">
        <is>
          <t>Start Day</t>
        </is>
      </c>
      <c r="D4" s="11" t="inlineStr">
        <is>
          <t>End Day</t>
        </is>
      </c>
      <c r="E4" s="11" t="inlineStr">
        <is>
          <t>Duration</t>
        </is>
      </c>
      <c r="F4" s="11" t="inlineStr">
        <is>
          <t>1</t>
        </is>
      </c>
      <c r="G4" s="11" t="inlineStr">
        <is>
          <t>2</t>
        </is>
      </c>
      <c r="H4" s="11" t="inlineStr">
        <is>
          <t>3</t>
        </is>
      </c>
      <c r="I4" s="11" t="inlineStr">
        <is>
          <t>4</t>
        </is>
      </c>
      <c r="J4" s="11" t="inlineStr">
        <is>
          <t>5</t>
        </is>
      </c>
      <c r="K4" s="11" t="inlineStr">
        <is>
          <t>6</t>
        </is>
      </c>
      <c r="L4" s="11" t="inlineStr">
        <is>
          <t>7</t>
        </is>
      </c>
      <c r="M4" s="11" t="inlineStr">
        <is>
          <t>8</t>
        </is>
      </c>
      <c r="N4" s="11" t="inlineStr">
        <is>
          <t>9</t>
        </is>
      </c>
      <c r="O4" s="11" t="inlineStr">
        <is>
          <t>10</t>
        </is>
      </c>
      <c r="P4" s="11" t="inlineStr">
        <is>
          <t>11</t>
        </is>
      </c>
      <c r="Q4" s="11" t="inlineStr">
        <is>
          <t>12</t>
        </is>
      </c>
      <c r="R4" s="11" t="inlineStr">
        <is>
          <t>13</t>
        </is>
      </c>
      <c r="S4" s="11" t="inlineStr">
        <is>
          <t>14</t>
        </is>
      </c>
      <c r="T4" s="11" t="inlineStr">
        <is>
          <t>15</t>
        </is>
      </c>
      <c r="U4" s="11" t="inlineStr">
        <is>
          <t>16</t>
        </is>
      </c>
      <c r="V4" s="11" t="inlineStr">
        <is>
          <t>17</t>
        </is>
      </c>
      <c r="W4" s="11" t="inlineStr">
        <is>
          <t>18</t>
        </is>
      </c>
      <c r="X4" s="11" t="inlineStr">
        <is>
          <t>19</t>
        </is>
      </c>
      <c r="Y4" s="11" t="inlineStr">
        <is>
          <t>20</t>
        </is>
      </c>
      <c r="Z4" s="11" t="inlineStr">
        <is>
          <t>21</t>
        </is>
      </c>
      <c r="AA4" s="11" t="inlineStr">
        <is>
          <t>22</t>
        </is>
      </c>
      <c r="AB4" s="11" t="inlineStr">
        <is>
          <t>23</t>
        </is>
      </c>
      <c r="AC4" s="11" t="inlineStr">
        <is>
          <t>24</t>
        </is>
      </c>
      <c r="AD4" s="11" t="inlineStr">
        <is>
          <t>25</t>
        </is>
      </c>
      <c r="AE4" s="11" t="inlineStr">
        <is>
          <t>26</t>
        </is>
      </c>
      <c r="AF4" s="11" t="inlineStr">
        <is>
          <t>27</t>
        </is>
      </c>
      <c r="AG4" s="11" t="inlineStr">
        <is>
          <t>28</t>
        </is>
      </c>
      <c r="AH4" s="11" t="inlineStr">
        <is>
          <t>29</t>
        </is>
      </c>
      <c r="AI4" s="11" t="inlineStr">
        <is>
          <t>30</t>
        </is>
      </c>
      <c r="AJ4" s="11" t="inlineStr">
        <is>
          <t>31</t>
        </is>
      </c>
      <c r="AK4" s="11" t="inlineStr">
        <is>
          <t>32</t>
        </is>
      </c>
      <c r="AL4" s="11" t="inlineStr">
        <is>
          <t>33</t>
        </is>
      </c>
      <c r="AM4" s="11" t="inlineStr">
        <is>
          <t>34</t>
        </is>
      </c>
      <c r="AN4" s="11" t="inlineStr">
        <is>
          <t>35</t>
        </is>
      </c>
      <c r="AO4" s="11" t="inlineStr">
        <is>
          <t>36</t>
        </is>
      </c>
      <c r="AP4" s="11" t="inlineStr">
        <is>
          <t>37</t>
        </is>
      </c>
      <c r="AQ4" s="11" t="inlineStr">
        <is>
          <t>38</t>
        </is>
      </c>
      <c r="AR4" s="11" t="inlineStr">
        <is>
          <t>39</t>
        </is>
      </c>
      <c r="AS4" s="11" t="inlineStr">
        <is>
          <t>40</t>
        </is>
      </c>
      <c r="AT4" s="11" t="inlineStr">
        <is>
          <t>41</t>
        </is>
      </c>
      <c r="AU4" s="11" t="inlineStr">
        <is>
          <t>42</t>
        </is>
      </c>
      <c r="AV4" s="11" t="inlineStr">
        <is>
          <t>43</t>
        </is>
      </c>
      <c r="AW4" s="11" t="inlineStr">
        <is>
          <t>44</t>
        </is>
      </c>
      <c r="AX4" s="11" t="inlineStr">
        <is>
          <t>45</t>
        </is>
      </c>
      <c r="AY4" s="11" t="inlineStr">
        <is>
          <t>46</t>
        </is>
      </c>
      <c r="AZ4" s="11" t="inlineStr">
        <is>
          <t>47</t>
        </is>
      </c>
      <c r="BA4" s="11" t="inlineStr">
        <is>
          <t>48</t>
        </is>
      </c>
      <c r="BB4" s="11" t="inlineStr">
        <is>
          <t>49</t>
        </is>
      </c>
      <c r="BC4" s="11" t="inlineStr">
        <is>
          <t>50</t>
        </is>
      </c>
      <c r="BD4" s="11" t="inlineStr">
        <is>
          <t>51</t>
        </is>
      </c>
      <c r="BE4" s="11" t="inlineStr">
        <is>
          <t>52</t>
        </is>
      </c>
      <c r="BF4" s="11" t="inlineStr">
        <is>
          <t>53</t>
        </is>
      </c>
      <c r="BG4" s="11" t="inlineStr">
        <is>
          <t>54</t>
        </is>
      </c>
      <c r="BH4" s="11" t="inlineStr">
        <is>
          <t>55</t>
        </is>
      </c>
      <c r="BI4" s="11" t="inlineStr">
        <is>
          <t>56</t>
        </is>
      </c>
      <c r="BJ4" s="11" t="inlineStr">
        <is>
          <t>57</t>
        </is>
      </c>
      <c r="BK4" s="11" t="inlineStr">
        <is>
          <t>58</t>
        </is>
      </c>
      <c r="BL4" s="11" t="inlineStr">
        <is>
          <t>59</t>
        </is>
      </c>
      <c r="BM4" s="11" t="inlineStr">
        <is>
          <t>60</t>
        </is>
      </c>
      <c r="BN4" s="11" t="inlineStr">
        <is>
          <t>61</t>
        </is>
      </c>
      <c r="BO4" s="11" t="inlineStr">
        <is>
          <t>62</t>
        </is>
      </c>
      <c r="BP4" s="11" t="inlineStr">
        <is>
          <t>63</t>
        </is>
      </c>
      <c r="BQ4" s="11" t="inlineStr">
        <is>
          <t>64</t>
        </is>
      </c>
      <c r="BR4" s="11" t="inlineStr">
        <is>
          <t>65</t>
        </is>
      </c>
      <c r="BS4" s="11" t="inlineStr">
        <is>
          <t>66</t>
        </is>
      </c>
      <c r="BT4" s="11" t="inlineStr">
        <is>
          <t>67</t>
        </is>
      </c>
      <c r="BU4" s="11" t="inlineStr">
        <is>
          <t>68</t>
        </is>
      </c>
      <c r="BV4" s="11" t="inlineStr">
        <is>
          <t>69</t>
        </is>
      </c>
      <c r="BW4" s="11" t="inlineStr">
        <is>
          <t>70</t>
        </is>
      </c>
      <c r="BX4" s="11" t="inlineStr">
        <is>
          <t>71</t>
        </is>
      </c>
      <c r="BY4" s="11" t="inlineStr">
        <is>
          <t>72</t>
        </is>
      </c>
      <c r="BZ4" s="11" t="inlineStr">
        <is>
          <t>73</t>
        </is>
      </c>
      <c r="CA4" s="11" t="inlineStr">
        <is>
          <t>74</t>
        </is>
      </c>
      <c r="CB4" s="11" t="inlineStr">
        <is>
          <t>75</t>
        </is>
      </c>
      <c r="CC4" s="11" t="inlineStr">
        <is>
          <t>76</t>
        </is>
      </c>
      <c r="CD4" s="11" t="inlineStr">
        <is>
          <t>77</t>
        </is>
      </c>
      <c r="CE4" s="11" t="inlineStr">
        <is>
          <t>78</t>
        </is>
      </c>
      <c r="CF4" s="11" t="inlineStr">
        <is>
          <t>79</t>
        </is>
      </c>
      <c r="CG4" s="11" t="inlineStr">
        <is>
          <t>80</t>
        </is>
      </c>
      <c r="CH4" s="11" t="inlineStr">
        <is>
          <t>81</t>
        </is>
      </c>
      <c r="CI4" s="11" t="inlineStr">
        <is>
          <t>82</t>
        </is>
      </c>
      <c r="CJ4" s="11" t="inlineStr">
        <is>
          <t>83</t>
        </is>
      </c>
      <c r="CK4" s="11" t="inlineStr">
        <is>
          <t>84</t>
        </is>
      </c>
      <c r="CL4" s="11" t="inlineStr">
        <is>
          <t>85</t>
        </is>
      </c>
      <c r="CM4" s="11" t="inlineStr">
        <is>
          <t>86</t>
        </is>
      </c>
      <c r="CN4" s="11" t="inlineStr">
        <is>
          <t>87</t>
        </is>
      </c>
      <c r="CO4" s="11" t="inlineStr">
        <is>
          <t>88</t>
        </is>
      </c>
      <c r="CP4" s="11" t="inlineStr">
        <is>
          <t>89</t>
        </is>
      </c>
      <c r="CQ4" s="11" t="inlineStr">
        <is>
          <t>90</t>
        </is>
      </c>
      <c r="CR4" s="11" t="inlineStr">
        <is>
          <t>91</t>
        </is>
      </c>
      <c r="CS4" s="11" t="inlineStr">
        <is>
          <t>92</t>
        </is>
      </c>
      <c r="CT4" s="11" t="inlineStr">
        <is>
          <t>93</t>
        </is>
      </c>
      <c r="CU4" s="11" t="inlineStr">
        <is>
          <t>94</t>
        </is>
      </c>
      <c r="CV4" s="11" t="inlineStr">
        <is>
          <t>95</t>
        </is>
      </c>
      <c r="CW4" s="11" t="inlineStr">
        <is>
          <t>96</t>
        </is>
      </c>
      <c r="CX4" s="11" t="inlineStr">
        <is>
          <t>97</t>
        </is>
      </c>
      <c r="CY4" s="11" t="inlineStr">
        <is>
          <t>98</t>
        </is>
      </c>
      <c r="CZ4" s="11" t="inlineStr">
        <is>
          <t>99</t>
        </is>
      </c>
      <c r="DA4" s="11" t="inlineStr">
        <is>
          <t>100</t>
        </is>
      </c>
      <c r="DB4" s="11" t="inlineStr">
        <is>
          <t>101</t>
        </is>
      </c>
      <c r="DC4" s="11" t="inlineStr">
        <is>
          <t>102</t>
        </is>
      </c>
      <c r="DD4" s="11" t="inlineStr">
        <is>
          <t>103</t>
        </is>
      </c>
      <c r="DE4" s="11" t="inlineStr">
        <is>
          <t>104</t>
        </is>
      </c>
      <c r="DF4" s="11" t="inlineStr">
        <is>
          <t>105</t>
        </is>
      </c>
      <c r="DG4" s="11" t="inlineStr">
        <is>
          <t>106</t>
        </is>
      </c>
      <c r="DH4" s="11" t="inlineStr">
        <is>
          <t>107</t>
        </is>
      </c>
      <c r="DI4" s="11" t="inlineStr">
        <is>
          <t>108</t>
        </is>
      </c>
      <c r="DJ4" s="11" t="inlineStr">
        <is>
          <t>109</t>
        </is>
      </c>
      <c r="DK4" s="11" t="inlineStr">
        <is>
          <t>110</t>
        </is>
      </c>
      <c r="DL4" s="11" t="inlineStr">
        <is>
          <t>111</t>
        </is>
      </c>
      <c r="DM4" s="11" t="inlineStr">
        <is>
          <t>112</t>
        </is>
      </c>
    </row>
    <row r="5">
      <c r="A5" s="26" t="inlineStr">
        <is>
          <t>Foundation: Auth + Wiring</t>
        </is>
      </c>
      <c r="B5" s="26" t="inlineStr">
        <is>
          <t>P2</t>
        </is>
      </c>
      <c r="C5" s="26" t="n">
        <v>1</v>
      </c>
      <c r="D5" s="26" t="n">
        <v>11</v>
      </c>
      <c r="E5" s="26" t="n">
        <v>11</v>
      </c>
      <c r="F5" s="27" t="inlineStr"/>
      <c r="G5" s="27" t="inlineStr"/>
      <c r="H5" s="27" t="inlineStr"/>
      <c r="I5" s="27" t="inlineStr"/>
      <c r="J5" s="27" t="inlineStr"/>
      <c r="K5" s="27" t="inlineStr"/>
      <c r="L5" s="27" t="inlineStr"/>
      <c r="M5" s="27" t="inlineStr"/>
      <c r="N5" s="27" t="inlineStr"/>
      <c r="O5" s="27" t="inlineStr"/>
      <c r="P5" s="27" t="inlineStr"/>
      <c r="Q5" s="28" t="inlineStr"/>
      <c r="R5" s="28" t="inlineStr"/>
      <c r="S5" s="28" t="inlineStr"/>
      <c r="T5" s="28" t="inlineStr"/>
      <c r="U5" s="28" t="inlineStr"/>
      <c r="V5" s="28" t="inlineStr"/>
      <c r="W5" s="28" t="inlineStr"/>
      <c r="X5" s="28" t="inlineStr"/>
      <c r="Y5" s="28" t="inlineStr"/>
      <c r="Z5" s="28" t="inlineStr"/>
      <c r="AA5" s="28" t="inlineStr"/>
      <c r="AB5" s="28" t="inlineStr"/>
      <c r="AC5" s="28" t="inlineStr"/>
      <c r="AD5" s="28" t="inlineStr"/>
      <c r="AE5" s="28" t="inlineStr"/>
      <c r="AF5" s="28" t="inlineStr"/>
      <c r="AG5" s="28" t="inlineStr"/>
      <c r="AH5" s="28" t="inlineStr"/>
      <c r="AI5" s="28" t="inlineStr"/>
      <c r="AJ5" s="28" t="inlineStr"/>
      <c r="AK5" s="28" t="inlineStr"/>
      <c r="AL5" s="28" t="inlineStr"/>
      <c r="AM5" s="28" t="inlineStr"/>
      <c r="AN5" s="28" t="inlineStr"/>
      <c r="AO5" s="28" t="inlineStr"/>
      <c r="AP5" s="28" t="inlineStr"/>
      <c r="AQ5" s="28" t="inlineStr"/>
      <c r="AR5" s="28" t="inlineStr"/>
      <c r="AS5" s="28" t="inlineStr"/>
      <c r="AT5" s="28" t="inlineStr"/>
      <c r="AU5" s="28" t="inlineStr"/>
      <c r="AV5" s="28" t="inlineStr"/>
      <c r="AW5" s="28" t="inlineStr"/>
      <c r="AX5" s="28" t="inlineStr"/>
      <c r="AY5" s="28" t="inlineStr"/>
      <c r="AZ5" s="28" t="inlineStr"/>
      <c r="BA5" s="28" t="inlineStr"/>
      <c r="BB5" s="28" t="inlineStr"/>
      <c r="BC5" s="28" t="inlineStr"/>
      <c r="BD5" s="28" t="inlineStr"/>
      <c r="BE5" s="28" t="inlineStr"/>
      <c r="BF5" s="28" t="inlineStr"/>
      <c r="BG5" s="28" t="inlineStr"/>
      <c r="BH5" s="28" t="inlineStr"/>
      <c r="BI5" s="28" t="inlineStr"/>
      <c r="BJ5" s="28" t="inlineStr"/>
      <c r="BK5" s="28" t="inlineStr"/>
      <c r="BL5" s="28" t="inlineStr"/>
      <c r="BM5" s="28" t="inlineStr"/>
      <c r="BN5" s="28" t="inlineStr"/>
      <c r="BO5" s="28" t="inlineStr"/>
      <c r="BP5" s="28" t="inlineStr"/>
      <c r="BQ5" s="28" t="inlineStr"/>
      <c r="BR5" s="28" t="inlineStr"/>
      <c r="BS5" s="28" t="inlineStr"/>
      <c r="BT5" s="28" t="inlineStr"/>
      <c r="BU5" s="28" t="inlineStr"/>
      <c r="BV5" s="28" t="inlineStr"/>
      <c r="BW5" s="28" t="inlineStr"/>
      <c r="BX5" s="28" t="inlineStr"/>
      <c r="BY5" s="28" t="inlineStr"/>
      <c r="BZ5" s="28" t="inlineStr"/>
      <c r="CA5" s="28" t="inlineStr"/>
      <c r="CB5" s="28" t="inlineStr"/>
      <c r="CC5" s="28" t="inlineStr"/>
      <c r="CD5" s="28" t="inlineStr"/>
      <c r="CE5" s="28" t="inlineStr"/>
      <c r="CF5" s="28" t="inlineStr"/>
      <c r="CG5" s="28" t="inlineStr"/>
      <c r="CH5" s="28" t="inlineStr"/>
      <c r="CI5" s="28" t="inlineStr"/>
      <c r="CJ5" s="28" t="inlineStr"/>
      <c r="CK5" s="28" t="inlineStr"/>
      <c r="CL5" s="28" t="inlineStr"/>
      <c r="CM5" s="28" t="inlineStr"/>
      <c r="CN5" s="28" t="inlineStr"/>
      <c r="CO5" s="28" t="inlineStr"/>
      <c r="CP5" s="28" t="inlineStr"/>
      <c r="CQ5" s="28" t="inlineStr"/>
      <c r="CR5" s="28" t="inlineStr"/>
      <c r="CS5" s="28" t="inlineStr"/>
      <c r="CT5" s="28" t="inlineStr"/>
      <c r="CU5" s="28" t="inlineStr"/>
      <c r="CV5" s="28" t="inlineStr"/>
      <c r="CW5" s="28" t="inlineStr"/>
      <c r="CX5" s="28" t="inlineStr"/>
      <c r="CY5" s="28" t="inlineStr"/>
      <c r="CZ5" s="28" t="inlineStr"/>
      <c r="DA5" s="28" t="inlineStr"/>
      <c r="DB5" s="28" t="inlineStr"/>
      <c r="DC5" s="28" t="inlineStr"/>
      <c r="DD5" s="28" t="inlineStr"/>
      <c r="DE5" s="28" t="inlineStr"/>
      <c r="DF5" s="28" t="inlineStr"/>
      <c r="DG5" s="28" t="inlineStr"/>
      <c r="DH5" s="28" t="inlineStr"/>
      <c r="DI5" s="28" t="inlineStr"/>
      <c r="DJ5" s="28" t="inlineStr"/>
      <c r="DK5" s="28" t="inlineStr"/>
      <c r="DL5" s="28" t="inlineStr"/>
      <c r="DM5" s="28" t="inlineStr"/>
    </row>
    <row r="6">
      <c r="A6" s="29" t="inlineStr">
        <is>
          <t>Connector Studio</t>
        </is>
      </c>
      <c r="B6" s="29" t="inlineStr">
        <is>
          <t>P2</t>
        </is>
      </c>
      <c r="C6" s="29" t="n">
        <v>12</v>
      </c>
      <c r="D6" s="29" t="n">
        <v>20</v>
      </c>
      <c r="E6" s="29" t="n">
        <v>9</v>
      </c>
      <c r="F6" s="30" t="inlineStr"/>
      <c r="G6" s="30" t="inlineStr"/>
      <c r="H6" s="30" t="inlineStr"/>
      <c r="I6" s="30" t="inlineStr"/>
      <c r="J6" s="30" t="inlineStr"/>
      <c r="K6" s="30" t="inlineStr"/>
      <c r="L6" s="30" t="inlineStr"/>
      <c r="M6" s="30" t="inlineStr"/>
      <c r="N6" s="30" t="inlineStr"/>
      <c r="O6" s="30" t="inlineStr"/>
      <c r="P6" s="30" t="inlineStr"/>
      <c r="Q6" s="27" t="inlineStr"/>
      <c r="R6" s="27" t="inlineStr"/>
      <c r="S6" s="27" t="inlineStr"/>
      <c r="T6" s="27" t="inlineStr"/>
      <c r="U6" s="27" t="inlineStr"/>
      <c r="V6" s="27" t="inlineStr"/>
      <c r="W6" s="27" t="inlineStr"/>
      <c r="X6" s="27" t="inlineStr"/>
      <c r="Y6" s="27" t="inlineStr"/>
      <c r="Z6" s="30" t="inlineStr"/>
      <c r="AA6" s="30" t="inlineStr"/>
      <c r="AB6" s="30" t="inlineStr"/>
      <c r="AC6" s="30" t="inlineStr"/>
      <c r="AD6" s="30" t="inlineStr"/>
      <c r="AE6" s="30" t="inlineStr"/>
      <c r="AF6" s="30" t="inlineStr"/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/>
      <c r="AO6" s="30" t="inlineStr"/>
      <c r="AP6" s="30" t="inlineStr"/>
      <c r="AQ6" s="30" t="inlineStr"/>
      <c r="AR6" s="30" t="inlineStr"/>
      <c r="AS6" s="30" t="inlineStr"/>
      <c r="AT6" s="30" t="inlineStr"/>
      <c r="AU6" s="30" t="inlineStr"/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/>
      <c r="BD6" s="30" t="inlineStr"/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  <c r="CK6" s="30" t="inlineStr"/>
      <c r="CL6" s="30" t="inlineStr"/>
      <c r="CM6" s="30" t="inlineStr"/>
      <c r="CN6" s="30" t="inlineStr"/>
      <c r="CO6" s="30" t="inlineStr"/>
      <c r="CP6" s="30" t="inlineStr"/>
      <c r="CQ6" s="30" t="inlineStr"/>
      <c r="CR6" s="30" t="inlineStr"/>
      <c r="CS6" s="30" t="inlineStr"/>
      <c r="CT6" s="30" t="inlineStr"/>
      <c r="CU6" s="30" t="inlineStr"/>
      <c r="CV6" s="30" t="inlineStr"/>
      <c r="CW6" s="30" t="inlineStr"/>
      <c r="CX6" s="30" t="inlineStr"/>
      <c r="CY6" s="30" t="inlineStr"/>
      <c r="CZ6" s="30" t="inlineStr"/>
      <c r="DA6" s="30" t="inlineStr"/>
      <c r="DB6" s="30" t="inlineStr"/>
      <c r="DC6" s="30" t="inlineStr"/>
      <c r="DD6" s="30" t="inlineStr"/>
      <c r="DE6" s="30" t="inlineStr"/>
      <c r="DF6" s="30" t="inlineStr"/>
      <c r="DG6" s="30" t="inlineStr"/>
      <c r="DH6" s="30" t="inlineStr"/>
      <c r="DI6" s="30" t="inlineStr"/>
      <c r="DJ6" s="30" t="inlineStr"/>
      <c r="DK6" s="30" t="inlineStr"/>
      <c r="DL6" s="30" t="inlineStr"/>
      <c r="DM6" s="30" t="inlineStr"/>
    </row>
    <row r="7">
      <c r="A7" s="26" t="inlineStr">
        <is>
          <t>Master Entity Catalog (read)</t>
        </is>
      </c>
      <c r="B7" s="26" t="inlineStr">
        <is>
          <t>P2</t>
        </is>
      </c>
      <c r="C7" s="26" t="n">
        <v>21</v>
      </c>
      <c r="D7" s="26" t="n">
        <v>24</v>
      </c>
      <c r="E7" s="26" t="n">
        <v>4</v>
      </c>
      <c r="F7" s="28" t="inlineStr"/>
      <c r="G7" s="28" t="inlineStr"/>
      <c r="H7" s="28" t="inlineStr"/>
      <c r="I7" s="28" t="inlineStr"/>
      <c r="J7" s="28" t="inlineStr"/>
      <c r="K7" s="28" t="inlineStr"/>
      <c r="L7" s="28" t="inlineStr"/>
      <c r="M7" s="28" t="inlineStr"/>
      <c r="N7" s="28" t="inlineStr"/>
      <c r="O7" s="28" t="inlineStr"/>
      <c r="P7" s="28" t="inlineStr"/>
      <c r="Q7" s="28" t="inlineStr"/>
      <c r="R7" s="28" t="inlineStr"/>
      <c r="S7" s="28" t="inlineStr"/>
      <c r="T7" s="28" t="inlineStr"/>
      <c r="U7" s="28" t="inlineStr"/>
      <c r="V7" s="28" t="inlineStr"/>
      <c r="W7" s="28" t="inlineStr"/>
      <c r="X7" s="28" t="inlineStr"/>
      <c r="Y7" s="28" t="inlineStr"/>
      <c r="Z7" s="27" t="inlineStr"/>
      <c r="AA7" s="27" t="inlineStr"/>
      <c r="AB7" s="27" t="inlineStr"/>
      <c r="AC7" s="27" t="inlineStr"/>
      <c r="AD7" s="28" t="inlineStr"/>
      <c r="AE7" s="28" t="inlineStr"/>
      <c r="AF7" s="28" t="inlineStr"/>
      <c r="AG7" s="28" t="inlineStr"/>
      <c r="AH7" s="28" t="inlineStr"/>
      <c r="AI7" s="28" t="inlineStr"/>
      <c r="AJ7" s="28" t="inlineStr"/>
      <c r="AK7" s="28" t="inlineStr"/>
      <c r="AL7" s="28" t="inlineStr"/>
      <c r="AM7" s="28" t="inlineStr"/>
      <c r="AN7" s="28" t="inlineStr"/>
      <c r="AO7" s="28" t="inlineStr"/>
      <c r="AP7" s="28" t="inlineStr"/>
      <c r="AQ7" s="28" t="inlineStr"/>
      <c r="AR7" s="28" t="inlineStr"/>
      <c r="AS7" s="28" t="inlineStr"/>
      <c r="AT7" s="28" t="inlineStr"/>
      <c r="AU7" s="28" t="inlineStr"/>
      <c r="AV7" s="28" t="inlineStr"/>
      <c r="AW7" s="28" t="inlineStr"/>
      <c r="AX7" s="28" t="inlineStr"/>
      <c r="AY7" s="28" t="inlineStr"/>
      <c r="AZ7" s="28" t="inlineStr"/>
      <c r="BA7" s="28" t="inlineStr"/>
      <c r="BB7" s="28" t="inlineStr"/>
      <c r="BC7" s="28" t="inlineStr"/>
      <c r="BD7" s="28" t="inlineStr"/>
      <c r="BE7" s="28" t="inlineStr"/>
      <c r="BF7" s="28" t="inlineStr"/>
      <c r="BG7" s="28" t="inlineStr"/>
      <c r="BH7" s="28" t="inlineStr"/>
      <c r="BI7" s="28" t="inlineStr"/>
      <c r="BJ7" s="28" t="inlineStr"/>
      <c r="BK7" s="28" t="inlineStr"/>
      <c r="BL7" s="28" t="inlineStr"/>
      <c r="BM7" s="28" t="inlineStr"/>
      <c r="BN7" s="28" t="inlineStr"/>
      <c r="BO7" s="28" t="inlineStr"/>
      <c r="BP7" s="28" t="inlineStr"/>
      <c r="BQ7" s="28" t="inlineStr"/>
      <c r="BR7" s="28" t="inlineStr"/>
      <c r="BS7" s="28" t="inlineStr"/>
      <c r="BT7" s="28" t="inlineStr"/>
      <c r="BU7" s="28" t="inlineStr"/>
      <c r="BV7" s="28" t="inlineStr"/>
      <c r="BW7" s="28" t="inlineStr"/>
      <c r="BX7" s="28" t="inlineStr"/>
      <c r="BY7" s="28" t="inlineStr"/>
      <c r="BZ7" s="28" t="inlineStr"/>
      <c r="CA7" s="28" t="inlineStr"/>
      <c r="CB7" s="28" t="inlineStr"/>
      <c r="CC7" s="28" t="inlineStr"/>
      <c r="CD7" s="28" t="inlineStr"/>
      <c r="CE7" s="28" t="inlineStr"/>
      <c r="CF7" s="28" t="inlineStr"/>
      <c r="CG7" s="28" t="inlineStr"/>
      <c r="CH7" s="28" t="inlineStr"/>
      <c r="CI7" s="28" t="inlineStr"/>
      <c r="CJ7" s="28" t="inlineStr"/>
      <c r="CK7" s="28" t="inlineStr"/>
      <c r="CL7" s="28" t="inlineStr"/>
      <c r="CM7" s="28" t="inlineStr"/>
      <c r="CN7" s="28" t="inlineStr"/>
      <c r="CO7" s="28" t="inlineStr"/>
      <c r="CP7" s="28" t="inlineStr"/>
      <c r="CQ7" s="28" t="inlineStr"/>
      <c r="CR7" s="28" t="inlineStr"/>
      <c r="CS7" s="28" t="inlineStr"/>
      <c r="CT7" s="28" t="inlineStr"/>
      <c r="CU7" s="28" t="inlineStr"/>
      <c r="CV7" s="28" t="inlineStr"/>
      <c r="CW7" s="28" t="inlineStr"/>
      <c r="CX7" s="28" t="inlineStr"/>
      <c r="CY7" s="28" t="inlineStr"/>
      <c r="CZ7" s="28" t="inlineStr"/>
      <c r="DA7" s="28" t="inlineStr"/>
      <c r="DB7" s="28" t="inlineStr"/>
      <c r="DC7" s="28" t="inlineStr"/>
      <c r="DD7" s="28" t="inlineStr"/>
      <c r="DE7" s="28" t="inlineStr"/>
      <c r="DF7" s="28" t="inlineStr"/>
      <c r="DG7" s="28" t="inlineStr"/>
      <c r="DH7" s="28" t="inlineStr"/>
      <c r="DI7" s="28" t="inlineStr"/>
      <c r="DJ7" s="28" t="inlineStr"/>
      <c r="DK7" s="28" t="inlineStr"/>
      <c r="DL7" s="28" t="inlineStr"/>
      <c r="DM7" s="28" t="inlineStr"/>
    </row>
    <row r="8">
      <c r="A8" s="29" t="inlineStr">
        <is>
          <t>Mapping Engine + AI Auto-Map</t>
        </is>
      </c>
      <c r="B8" s="29" t="inlineStr">
        <is>
          <t>P2</t>
        </is>
      </c>
      <c r="C8" s="29" t="n">
        <v>25</v>
      </c>
      <c r="D8" s="29" t="n">
        <v>32</v>
      </c>
      <c r="E8" s="29" t="n">
        <v>8</v>
      </c>
      <c r="F8" s="30" t="inlineStr"/>
      <c r="G8" s="30" t="inlineStr"/>
      <c r="H8" s="30" t="inlineStr"/>
      <c r="I8" s="30" t="inlineStr"/>
      <c r="J8" s="30" t="inlineStr"/>
      <c r="K8" s="30" t="inlineStr"/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/>
      <c r="U8" s="30" t="inlineStr"/>
      <c r="V8" s="30" t="inlineStr"/>
      <c r="W8" s="30" t="inlineStr"/>
      <c r="X8" s="30" t="inlineStr"/>
      <c r="Y8" s="30" t="inlineStr"/>
      <c r="Z8" s="30" t="inlineStr"/>
      <c r="AA8" s="30" t="inlineStr"/>
      <c r="AB8" s="30" t="inlineStr"/>
      <c r="AC8" s="30" t="inlineStr"/>
      <c r="AD8" s="27" t="inlineStr"/>
      <c r="AE8" s="27" t="inlineStr"/>
      <c r="AF8" s="27" t="inlineStr"/>
      <c r="AG8" s="27" t="inlineStr"/>
      <c r="AH8" s="27" t="inlineStr"/>
      <c r="AI8" s="27" t="inlineStr"/>
      <c r="AJ8" s="27" t="inlineStr"/>
      <c r="AK8" s="27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/>
      <c r="AS8" s="30" t="inlineStr"/>
      <c r="AT8" s="30" t="inlineStr"/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/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  <c r="CK8" s="30" t="inlineStr"/>
      <c r="CL8" s="30" t="inlineStr"/>
      <c r="CM8" s="30" t="inlineStr"/>
      <c r="CN8" s="30" t="inlineStr"/>
      <c r="CO8" s="30" t="inlineStr"/>
      <c r="CP8" s="30" t="inlineStr"/>
      <c r="CQ8" s="30" t="inlineStr"/>
      <c r="CR8" s="30" t="inlineStr"/>
      <c r="CS8" s="30" t="inlineStr"/>
      <c r="CT8" s="30" t="inlineStr"/>
      <c r="CU8" s="30" t="inlineStr"/>
      <c r="CV8" s="30" t="inlineStr"/>
      <c r="CW8" s="30" t="inlineStr"/>
      <c r="CX8" s="30" t="inlineStr"/>
      <c r="CY8" s="30" t="inlineStr"/>
      <c r="CZ8" s="30" t="inlineStr"/>
      <c r="DA8" s="30" t="inlineStr"/>
      <c r="DB8" s="30" t="inlineStr"/>
      <c r="DC8" s="30" t="inlineStr"/>
      <c r="DD8" s="30" t="inlineStr"/>
      <c r="DE8" s="30" t="inlineStr"/>
      <c r="DF8" s="30" t="inlineStr"/>
      <c r="DG8" s="30" t="inlineStr"/>
      <c r="DH8" s="30" t="inlineStr"/>
      <c r="DI8" s="30" t="inlineStr"/>
      <c r="DJ8" s="30" t="inlineStr"/>
      <c r="DK8" s="30" t="inlineStr"/>
      <c r="DL8" s="30" t="inlineStr"/>
      <c r="DM8" s="30" t="inlineStr"/>
    </row>
    <row r="9">
      <c r="A9" s="26" t="inlineStr">
        <is>
          <t>Monitoring (Console + Dashboard)</t>
        </is>
      </c>
      <c r="B9" s="26" t="inlineStr">
        <is>
          <t>P2</t>
        </is>
      </c>
      <c r="C9" s="26" t="n">
        <v>33</v>
      </c>
      <c r="D9" s="26" t="n">
        <v>37</v>
      </c>
      <c r="E9" s="26" t="n">
        <v>5</v>
      </c>
      <c r="F9" s="28" t="inlineStr"/>
      <c r="G9" s="28" t="inlineStr"/>
      <c r="H9" s="28" t="inlineStr"/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8" t="inlineStr"/>
      <c r="Q9" s="28" t="inlineStr"/>
      <c r="R9" s="28" t="inlineStr"/>
      <c r="S9" s="28" t="inlineStr"/>
      <c r="T9" s="28" t="inlineStr"/>
      <c r="U9" s="28" t="inlineStr"/>
      <c r="V9" s="28" t="inlineStr"/>
      <c r="W9" s="28" t="inlineStr"/>
      <c r="X9" s="28" t="inlineStr"/>
      <c r="Y9" s="28" t="inlineStr"/>
      <c r="Z9" s="28" t="inlineStr"/>
      <c r="AA9" s="28" t="inlineStr"/>
      <c r="AB9" s="28" t="inlineStr"/>
      <c r="AC9" s="28" t="inlineStr"/>
      <c r="AD9" s="28" t="inlineStr"/>
      <c r="AE9" s="28" t="inlineStr"/>
      <c r="AF9" s="28" t="inlineStr"/>
      <c r="AG9" s="28" t="inlineStr"/>
      <c r="AH9" s="28" t="inlineStr"/>
      <c r="AI9" s="28" t="inlineStr"/>
      <c r="AJ9" s="28" t="inlineStr"/>
      <c r="AK9" s="28" t="inlineStr"/>
      <c r="AL9" s="27" t="inlineStr"/>
      <c r="AM9" s="27" t="inlineStr"/>
      <c r="AN9" s="27" t="inlineStr"/>
      <c r="AO9" s="27" t="inlineStr"/>
      <c r="AP9" s="27" t="inlineStr"/>
      <c r="AQ9" s="28" t="inlineStr"/>
      <c r="AR9" s="28" t="inlineStr"/>
      <c r="AS9" s="28" t="inlineStr"/>
      <c r="AT9" s="28" t="inlineStr"/>
      <c r="AU9" s="28" t="inlineStr"/>
      <c r="AV9" s="28" t="inlineStr"/>
      <c r="AW9" s="28" t="inlineStr"/>
      <c r="AX9" s="28" t="inlineStr"/>
      <c r="AY9" s="28" t="inlineStr"/>
      <c r="AZ9" s="28" t="inlineStr"/>
      <c r="BA9" s="28" t="inlineStr"/>
      <c r="BB9" s="28" t="inlineStr"/>
      <c r="BC9" s="28" t="inlineStr"/>
      <c r="BD9" s="28" t="inlineStr"/>
      <c r="BE9" s="28" t="inlineStr"/>
      <c r="BF9" s="28" t="inlineStr"/>
      <c r="BG9" s="28" t="inlineStr"/>
      <c r="BH9" s="28" t="inlineStr"/>
      <c r="BI9" s="28" t="inlineStr"/>
      <c r="BJ9" s="28" t="inlineStr"/>
      <c r="BK9" s="28" t="inlineStr"/>
      <c r="BL9" s="28" t="inlineStr"/>
      <c r="BM9" s="28" t="inlineStr"/>
      <c r="BN9" s="28" t="inlineStr"/>
      <c r="BO9" s="28" t="inlineStr"/>
      <c r="BP9" s="28" t="inlineStr"/>
      <c r="BQ9" s="28" t="inlineStr"/>
      <c r="BR9" s="28" t="inlineStr"/>
      <c r="BS9" s="28" t="inlineStr"/>
      <c r="BT9" s="28" t="inlineStr"/>
      <c r="BU9" s="28" t="inlineStr"/>
      <c r="BV9" s="28" t="inlineStr"/>
      <c r="BW9" s="28" t="inlineStr"/>
      <c r="BX9" s="28" t="inlineStr"/>
      <c r="BY9" s="28" t="inlineStr"/>
      <c r="BZ9" s="28" t="inlineStr"/>
      <c r="CA9" s="28" t="inlineStr"/>
      <c r="CB9" s="28" t="inlineStr"/>
      <c r="CC9" s="28" t="inlineStr"/>
      <c r="CD9" s="28" t="inlineStr"/>
      <c r="CE9" s="28" t="inlineStr"/>
      <c r="CF9" s="28" t="inlineStr"/>
      <c r="CG9" s="28" t="inlineStr"/>
      <c r="CH9" s="28" t="inlineStr"/>
      <c r="CI9" s="28" t="inlineStr"/>
      <c r="CJ9" s="28" t="inlineStr"/>
      <c r="CK9" s="28" t="inlineStr"/>
      <c r="CL9" s="28" t="inlineStr"/>
      <c r="CM9" s="28" t="inlineStr"/>
      <c r="CN9" s="28" t="inlineStr"/>
      <c r="CO9" s="28" t="inlineStr"/>
      <c r="CP9" s="28" t="inlineStr"/>
      <c r="CQ9" s="28" t="inlineStr"/>
      <c r="CR9" s="28" t="inlineStr"/>
      <c r="CS9" s="28" t="inlineStr"/>
      <c r="CT9" s="28" t="inlineStr"/>
      <c r="CU9" s="28" t="inlineStr"/>
      <c r="CV9" s="28" t="inlineStr"/>
      <c r="CW9" s="28" t="inlineStr"/>
      <c r="CX9" s="28" t="inlineStr"/>
      <c r="CY9" s="28" t="inlineStr"/>
      <c r="CZ9" s="28" t="inlineStr"/>
      <c r="DA9" s="28" t="inlineStr"/>
      <c r="DB9" s="28" t="inlineStr"/>
      <c r="DC9" s="28" t="inlineStr"/>
      <c r="DD9" s="28" t="inlineStr"/>
      <c r="DE9" s="28" t="inlineStr"/>
      <c r="DF9" s="28" t="inlineStr"/>
      <c r="DG9" s="28" t="inlineStr"/>
      <c r="DH9" s="28" t="inlineStr"/>
      <c r="DI9" s="28" t="inlineStr"/>
      <c r="DJ9" s="28" t="inlineStr"/>
      <c r="DK9" s="28" t="inlineStr"/>
      <c r="DL9" s="28" t="inlineStr"/>
      <c r="DM9" s="28" t="inlineStr"/>
    </row>
    <row r="10">
      <c r="A10" s="29" t="inlineStr">
        <is>
          <t>Alerts System</t>
        </is>
      </c>
      <c r="B10" s="29" t="inlineStr">
        <is>
          <t>P2</t>
        </is>
      </c>
      <c r="C10" s="29" t="n">
        <v>38</v>
      </c>
      <c r="D10" s="29" t="n">
        <v>42</v>
      </c>
      <c r="E10" s="29" t="n">
        <v>5</v>
      </c>
      <c r="F10" s="30" t="inlineStr"/>
      <c r="G10" s="30" t="inlineStr"/>
      <c r="H10" s="30" t="inlineStr"/>
      <c r="I10" s="30" t="inlineStr"/>
      <c r="J10" s="30" t="inlineStr"/>
      <c r="K10" s="30" t="inlineStr"/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  <c r="V10" s="30" t="inlineStr"/>
      <c r="W10" s="30" t="inlineStr"/>
      <c r="X10" s="30" t="inlineStr"/>
      <c r="Y10" s="30" t="inlineStr"/>
      <c r="Z10" s="30" t="inlineStr"/>
      <c r="AA10" s="30" t="inlineStr"/>
      <c r="AB10" s="30" t="inlineStr"/>
      <c r="AC10" s="30" t="inlineStr"/>
      <c r="AD10" s="30" t="inlineStr"/>
      <c r="AE10" s="30" t="inlineStr"/>
      <c r="AF10" s="30" t="inlineStr"/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27" t="inlineStr"/>
      <c r="AR10" s="27" t="inlineStr"/>
      <c r="AS10" s="27" t="inlineStr"/>
      <c r="AT10" s="27" t="inlineStr"/>
      <c r="AU10" s="27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/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  <c r="CK10" s="30" t="inlineStr"/>
      <c r="CL10" s="30" t="inlineStr"/>
      <c r="CM10" s="30" t="inlineStr"/>
      <c r="CN10" s="30" t="inlineStr"/>
      <c r="CO10" s="30" t="inlineStr"/>
      <c r="CP10" s="30" t="inlineStr"/>
      <c r="CQ10" s="30" t="inlineStr"/>
      <c r="CR10" s="30" t="inlineStr"/>
      <c r="CS10" s="30" t="inlineStr"/>
      <c r="CT10" s="30" t="inlineStr"/>
      <c r="CU10" s="30" t="inlineStr"/>
      <c r="CV10" s="30" t="inlineStr"/>
      <c r="CW10" s="30" t="inlineStr"/>
      <c r="CX10" s="30" t="inlineStr"/>
      <c r="CY10" s="30" t="inlineStr"/>
      <c r="CZ10" s="30" t="inlineStr"/>
      <c r="DA10" s="30" t="inlineStr"/>
      <c r="DB10" s="30" t="inlineStr"/>
      <c r="DC10" s="30" t="inlineStr"/>
      <c r="DD10" s="30" t="inlineStr"/>
      <c r="DE10" s="30" t="inlineStr"/>
      <c r="DF10" s="30" t="inlineStr"/>
      <c r="DG10" s="30" t="inlineStr"/>
      <c r="DH10" s="30" t="inlineStr"/>
      <c r="DI10" s="30" t="inlineStr"/>
      <c r="DJ10" s="30" t="inlineStr"/>
      <c r="DK10" s="30" t="inlineStr"/>
      <c r="DL10" s="30" t="inlineStr"/>
      <c r="DM10" s="30" t="inlineStr"/>
    </row>
    <row r="11">
      <c r="A11" s="26" t="inlineStr">
        <is>
          <t>Help System</t>
        </is>
      </c>
      <c r="B11" s="26" t="inlineStr">
        <is>
          <t>P2</t>
        </is>
      </c>
      <c r="C11" s="26" t="n">
        <v>43</v>
      </c>
      <c r="D11" s="26" t="n">
        <v>47</v>
      </c>
      <c r="E11" s="26" t="n">
        <v>5</v>
      </c>
      <c r="F11" s="28" t="inlineStr"/>
      <c r="G11" s="28" t="inlineStr"/>
      <c r="H11" s="28" t="inlineStr"/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8" t="inlineStr"/>
      <c r="Q11" s="28" t="inlineStr"/>
      <c r="R11" s="28" t="inlineStr"/>
      <c r="S11" s="28" t="inlineStr"/>
      <c r="T11" s="28" t="inlineStr"/>
      <c r="U11" s="28" t="inlineStr"/>
      <c r="V11" s="28" t="inlineStr"/>
      <c r="W11" s="28" t="inlineStr"/>
      <c r="X11" s="28" t="inlineStr"/>
      <c r="Y11" s="28" t="inlineStr"/>
      <c r="Z11" s="28" t="inlineStr"/>
      <c r="AA11" s="28" t="inlineStr"/>
      <c r="AB11" s="28" t="inlineStr"/>
      <c r="AC11" s="28" t="inlineStr"/>
      <c r="AD11" s="28" t="inlineStr"/>
      <c r="AE11" s="28" t="inlineStr"/>
      <c r="AF11" s="28" t="inlineStr"/>
      <c r="AG11" s="28" t="inlineStr"/>
      <c r="AH11" s="28" t="inlineStr"/>
      <c r="AI11" s="28" t="inlineStr"/>
      <c r="AJ11" s="28" t="inlineStr"/>
      <c r="AK11" s="28" t="inlineStr"/>
      <c r="AL11" s="28" t="inlineStr"/>
      <c r="AM11" s="28" t="inlineStr"/>
      <c r="AN11" s="28" t="inlineStr"/>
      <c r="AO11" s="28" t="inlineStr"/>
      <c r="AP11" s="28" t="inlineStr"/>
      <c r="AQ11" s="28" t="inlineStr"/>
      <c r="AR11" s="28" t="inlineStr"/>
      <c r="AS11" s="28" t="inlineStr"/>
      <c r="AT11" s="28" t="inlineStr"/>
      <c r="AU11" s="28" t="inlineStr"/>
      <c r="AV11" s="27" t="inlineStr"/>
      <c r="AW11" s="27" t="inlineStr"/>
      <c r="AX11" s="27" t="inlineStr"/>
      <c r="AY11" s="27" t="inlineStr"/>
      <c r="AZ11" s="27" t="inlineStr"/>
      <c r="BA11" s="28" t="inlineStr"/>
      <c r="BB11" s="28" t="inlineStr"/>
      <c r="BC11" s="28" t="inlineStr"/>
      <c r="BD11" s="28" t="inlineStr"/>
      <c r="BE11" s="28" t="inlineStr"/>
      <c r="BF11" s="28" t="inlineStr"/>
      <c r="BG11" s="28" t="inlineStr"/>
      <c r="BH11" s="28" t="inlineStr"/>
      <c r="BI11" s="28" t="inlineStr"/>
      <c r="BJ11" s="28" t="inlineStr"/>
      <c r="BK11" s="28" t="inlineStr"/>
      <c r="BL11" s="28" t="inlineStr"/>
      <c r="BM11" s="28" t="inlineStr"/>
      <c r="BN11" s="28" t="inlineStr"/>
      <c r="BO11" s="28" t="inlineStr"/>
      <c r="BP11" s="28" t="inlineStr"/>
      <c r="BQ11" s="28" t="inlineStr"/>
      <c r="BR11" s="28" t="inlineStr"/>
      <c r="BS11" s="28" t="inlineStr"/>
      <c r="BT11" s="28" t="inlineStr"/>
      <c r="BU11" s="28" t="inlineStr"/>
      <c r="BV11" s="28" t="inlineStr"/>
      <c r="BW11" s="28" t="inlineStr"/>
      <c r="BX11" s="28" t="inlineStr"/>
      <c r="BY11" s="28" t="inlineStr"/>
      <c r="BZ11" s="28" t="inlineStr"/>
      <c r="CA11" s="28" t="inlineStr"/>
      <c r="CB11" s="28" t="inlineStr"/>
      <c r="CC11" s="28" t="inlineStr"/>
      <c r="CD11" s="28" t="inlineStr"/>
      <c r="CE11" s="28" t="inlineStr"/>
      <c r="CF11" s="28" t="inlineStr"/>
      <c r="CG11" s="28" t="inlineStr"/>
      <c r="CH11" s="28" t="inlineStr"/>
      <c r="CI11" s="28" t="inlineStr"/>
      <c r="CJ11" s="28" t="inlineStr"/>
      <c r="CK11" s="28" t="inlineStr"/>
      <c r="CL11" s="28" t="inlineStr"/>
      <c r="CM11" s="28" t="inlineStr"/>
      <c r="CN11" s="28" t="inlineStr"/>
      <c r="CO11" s="28" t="inlineStr"/>
      <c r="CP11" s="28" t="inlineStr"/>
      <c r="CQ11" s="28" t="inlineStr"/>
      <c r="CR11" s="28" t="inlineStr"/>
      <c r="CS11" s="28" t="inlineStr"/>
      <c r="CT11" s="28" t="inlineStr"/>
      <c r="CU11" s="28" t="inlineStr"/>
      <c r="CV11" s="28" t="inlineStr"/>
      <c r="CW11" s="28" t="inlineStr"/>
      <c r="CX11" s="28" t="inlineStr"/>
      <c r="CY11" s="28" t="inlineStr"/>
      <c r="CZ11" s="28" t="inlineStr"/>
      <c r="DA11" s="28" t="inlineStr"/>
      <c r="DB11" s="28" t="inlineStr"/>
      <c r="DC11" s="28" t="inlineStr"/>
      <c r="DD11" s="28" t="inlineStr"/>
      <c r="DE11" s="28" t="inlineStr"/>
      <c r="DF11" s="28" t="inlineStr"/>
      <c r="DG11" s="28" t="inlineStr"/>
      <c r="DH11" s="28" t="inlineStr"/>
      <c r="DI11" s="28" t="inlineStr"/>
      <c r="DJ11" s="28" t="inlineStr"/>
      <c r="DK11" s="28" t="inlineStr"/>
      <c r="DL11" s="28" t="inlineStr"/>
      <c r="DM11" s="28" t="inlineStr"/>
    </row>
    <row r="12">
      <c r="A12" s="29" t="inlineStr">
        <is>
          <t>New Sources (PG/Excel/D365/Keka/TARA)</t>
        </is>
      </c>
      <c r="B12" s="29" t="inlineStr">
        <is>
          <t>P2</t>
        </is>
      </c>
      <c r="C12" s="29" t="n">
        <v>48</v>
      </c>
      <c r="D12" s="29" t="n">
        <v>60</v>
      </c>
      <c r="E12" s="29" t="n">
        <v>13</v>
      </c>
      <c r="F12" s="30" t="inlineStr"/>
      <c r="G12" s="30" t="inlineStr"/>
      <c r="H12" s="30" t="inlineStr"/>
      <c r="I12" s="30" t="inlineStr"/>
      <c r="J12" s="30" t="inlineStr"/>
      <c r="K12" s="30" t="inlineStr"/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/>
      <c r="U12" s="30" t="inlineStr"/>
      <c r="V12" s="30" t="inlineStr"/>
      <c r="W12" s="30" t="inlineStr"/>
      <c r="X12" s="30" t="inlineStr"/>
      <c r="Y12" s="30" t="inlineStr"/>
      <c r="Z12" s="30" t="inlineStr"/>
      <c r="AA12" s="30" t="inlineStr"/>
      <c r="AB12" s="30" t="inlineStr"/>
      <c r="AC12" s="30" t="inlineStr"/>
      <c r="AD12" s="30" t="inlineStr"/>
      <c r="AE12" s="30" t="inlineStr"/>
      <c r="AF12" s="30" t="inlineStr"/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/>
      <c r="AO12" s="30" t="inlineStr"/>
      <c r="AP12" s="30" t="inlineStr"/>
      <c r="AQ12" s="30" t="inlineStr"/>
      <c r="AR12" s="30" t="inlineStr"/>
      <c r="AS12" s="30" t="inlineStr"/>
      <c r="AT12" s="30" t="inlineStr"/>
      <c r="AU12" s="30" t="inlineStr"/>
      <c r="AV12" s="30" t="inlineStr"/>
      <c r="AW12" s="30" t="inlineStr"/>
      <c r="AX12" s="30" t="inlineStr"/>
      <c r="AY12" s="30" t="inlineStr"/>
      <c r="AZ12" s="30" t="inlineStr"/>
      <c r="BA12" s="27" t="inlineStr"/>
      <c r="BB12" s="27" t="inlineStr"/>
      <c r="BC12" s="27" t="inlineStr"/>
      <c r="BD12" s="27" t="inlineStr"/>
      <c r="BE12" s="27" t="inlineStr"/>
      <c r="BF12" s="27" t="inlineStr"/>
      <c r="BG12" s="27" t="inlineStr"/>
      <c r="BH12" s="27" t="inlineStr"/>
      <c r="BI12" s="27" t="inlineStr"/>
      <c r="BJ12" s="27" t="inlineStr"/>
      <c r="BK12" s="27" t="inlineStr"/>
      <c r="BL12" s="27" t="inlineStr"/>
      <c r="BM12" s="27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  <c r="CK12" s="30" t="inlineStr"/>
      <c r="CL12" s="30" t="inlineStr"/>
      <c r="CM12" s="30" t="inlineStr"/>
      <c r="CN12" s="30" t="inlineStr"/>
      <c r="CO12" s="30" t="inlineStr"/>
      <c r="CP12" s="30" t="inlineStr"/>
      <c r="CQ12" s="30" t="inlineStr"/>
      <c r="CR12" s="30" t="inlineStr"/>
      <c r="CS12" s="30" t="inlineStr"/>
      <c r="CT12" s="30" t="inlineStr"/>
      <c r="CU12" s="30" t="inlineStr"/>
      <c r="CV12" s="30" t="inlineStr"/>
      <c r="CW12" s="30" t="inlineStr"/>
      <c r="CX12" s="30" t="inlineStr"/>
      <c r="CY12" s="30" t="inlineStr"/>
      <c r="CZ12" s="30" t="inlineStr"/>
      <c r="DA12" s="30" t="inlineStr"/>
      <c r="DB12" s="30" t="inlineStr"/>
      <c r="DC12" s="30" t="inlineStr"/>
      <c r="DD12" s="30" t="inlineStr"/>
      <c r="DE12" s="30" t="inlineStr"/>
      <c r="DF12" s="30" t="inlineStr"/>
      <c r="DG12" s="30" t="inlineStr"/>
      <c r="DH12" s="30" t="inlineStr"/>
      <c r="DI12" s="30" t="inlineStr"/>
      <c r="DJ12" s="30" t="inlineStr"/>
      <c r="DK12" s="30" t="inlineStr"/>
      <c r="DL12" s="30" t="inlineStr"/>
      <c r="DM12" s="30" t="inlineStr"/>
    </row>
    <row r="13">
      <c r="A13" s="26" t="inlineStr">
        <is>
          <t>New Destinations (TFS + Holiday)</t>
        </is>
      </c>
      <c r="B13" s="26" t="inlineStr">
        <is>
          <t>P2</t>
        </is>
      </c>
      <c r="C13" s="26" t="n">
        <v>61</v>
      </c>
      <c r="D13" s="26" t="n">
        <v>65</v>
      </c>
      <c r="E13" s="26" t="n">
        <v>5</v>
      </c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  <c r="T13" s="28" t="inlineStr"/>
      <c r="U13" s="28" t="inlineStr"/>
      <c r="V13" s="28" t="inlineStr"/>
      <c r="W13" s="28" t="inlineStr"/>
      <c r="X13" s="28" t="inlineStr"/>
      <c r="Y13" s="28" t="inlineStr"/>
      <c r="Z13" s="28" t="inlineStr"/>
      <c r="AA13" s="28" t="inlineStr"/>
      <c r="AB13" s="28" t="inlineStr"/>
      <c r="AC13" s="28" t="inlineStr"/>
      <c r="AD13" s="28" t="inlineStr"/>
      <c r="AE13" s="28" t="inlineStr"/>
      <c r="AF13" s="28" t="inlineStr"/>
      <c r="AG13" s="28" t="inlineStr"/>
      <c r="AH13" s="28" t="inlineStr"/>
      <c r="AI13" s="28" t="inlineStr"/>
      <c r="AJ13" s="28" t="inlineStr"/>
      <c r="AK13" s="28" t="inlineStr"/>
      <c r="AL13" s="28" t="inlineStr"/>
      <c r="AM13" s="28" t="inlineStr"/>
      <c r="AN13" s="28" t="inlineStr"/>
      <c r="AO13" s="28" t="inlineStr"/>
      <c r="AP13" s="28" t="inlineStr"/>
      <c r="AQ13" s="28" t="inlineStr"/>
      <c r="AR13" s="28" t="inlineStr"/>
      <c r="AS13" s="28" t="inlineStr"/>
      <c r="AT13" s="28" t="inlineStr"/>
      <c r="AU13" s="28" t="inlineStr"/>
      <c r="AV13" s="28" t="inlineStr"/>
      <c r="AW13" s="28" t="inlineStr"/>
      <c r="AX13" s="28" t="inlineStr"/>
      <c r="AY13" s="28" t="inlineStr"/>
      <c r="AZ13" s="28" t="inlineStr"/>
      <c r="BA13" s="28" t="inlineStr"/>
      <c r="BB13" s="28" t="inlineStr"/>
      <c r="BC13" s="28" t="inlineStr"/>
      <c r="BD13" s="28" t="inlineStr"/>
      <c r="BE13" s="28" t="inlineStr"/>
      <c r="BF13" s="28" t="inlineStr"/>
      <c r="BG13" s="28" t="inlineStr"/>
      <c r="BH13" s="28" t="inlineStr"/>
      <c r="BI13" s="28" t="inlineStr"/>
      <c r="BJ13" s="28" t="inlineStr"/>
      <c r="BK13" s="28" t="inlineStr"/>
      <c r="BL13" s="28" t="inlineStr"/>
      <c r="BM13" s="28" t="inlineStr"/>
      <c r="BN13" s="27" t="inlineStr"/>
      <c r="BO13" s="27" t="inlineStr"/>
      <c r="BP13" s="27" t="inlineStr"/>
      <c r="BQ13" s="27" t="inlineStr"/>
      <c r="BR13" s="27" t="inlineStr"/>
      <c r="BS13" s="28" t="inlineStr"/>
      <c r="BT13" s="28" t="inlineStr"/>
      <c r="BU13" s="28" t="inlineStr"/>
      <c r="BV13" s="28" t="inlineStr"/>
      <c r="BW13" s="28" t="inlineStr"/>
      <c r="BX13" s="28" t="inlineStr"/>
      <c r="BY13" s="28" t="inlineStr"/>
      <c r="BZ13" s="28" t="inlineStr"/>
      <c r="CA13" s="28" t="inlineStr"/>
      <c r="CB13" s="28" t="inlineStr"/>
      <c r="CC13" s="28" t="inlineStr"/>
      <c r="CD13" s="28" t="inlineStr"/>
      <c r="CE13" s="28" t="inlineStr"/>
      <c r="CF13" s="28" t="inlineStr"/>
      <c r="CG13" s="28" t="inlineStr"/>
      <c r="CH13" s="28" t="inlineStr"/>
      <c r="CI13" s="28" t="inlineStr"/>
      <c r="CJ13" s="28" t="inlineStr"/>
      <c r="CK13" s="28" t="inlineStr"/>
      <c r="CL13" s="28" t="inlineStr"/>
      <c r="CM13" s="28" t="inlineStr"/>
      <c r="CN13" s="28" t="inlineStr"/>
      <c r="CO13" s="28" t="inlineStr"/>
      <c r="CP13" s="28" t="inlineStr"/>
      <c r="CQ13" s="28" t="inlineStr"/>
      <c r="CR13" s="28" t="inlineStr"/>
      <c r="CS13" s="28" t="inlineStr"/>
      <c r="CT13" s="28" t="inlineStr"/>
      <c r="CU13" s="28" t="inlineStr"/>
      <c r="CV13" s="28" t="inlineStr"/>
      <c r="CW13" s="28" t="inlineStr"/>
      <c r="CX13" s="28" t="inlineStr"/>
      <c r="CY13" s="28" t="inlineStr"/>
      <c r="CZ13" s="28" t="inlineStr"/>
      <c r="DA13" s="28" t="inlineStr"/>
      <c r="DB13" s="28" t="inlineStr"/>
      <c r="DC13" s="28" t="inlineStr"/>
      <c r="DD13" s="28" t="inlineStr"/>
      <c r="DE13" s="28" t="inlineStr"/>
      <c r="DF13" s="28" t="inlineStr"/>
      <c r="DG13" s="28" t="inlineStr"/>
      <c r="DH13" s="28" t="inlineStr"/>
      <c r="DI13" s="28" t="inlineStr"/>
      <c r="DJ13" s="28" t="inlineStr"/>
      <c r="DK13" s="28" t="inlineStr"/>
      <c r="DL13" s="28" t="inlineStr"/>
      <c r="DM13" s="28" t="inlineStr"/>
    </row>
    <row r="14">
      <c r="A14" s="29" t="inlineStr">
        <is>
          <t>Web Scraping (Apify + Playwright)</t>
        </is>
      </c>
      <c r="B14" s="29" t="inlineStr">
        <is>
          <t>P2</t>
        </is>
      </c>
      <c r="C14" s="29" t="n">
        <v>66</v>
      </c>
      <c r="D14" s="29" t="n">
        <v>66</v>
      </c>
      <c r="E14" s="29" t="n">
        <v>1</v>
      </c>
      <c r="F14" s="30" t="inlineStr"/>
      <c r="G14" s="30" t="inlineStr"/>
      <c r="H14" s="30" t="inlineStr"/>
      <c r="I14" s="30" t="inlineStr"/>
      <c r="J14" s="30" t="inlineStr"/>
      <c r="K14" s="30" t="inlineStr"/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  <c r="V14" s="30" t="inlineStr"/>
      <c r="W14" s="30" t="inlineStr"/>
      <c r="X14" s="30" t="inlineStr"/>
      <c r="Y14" s="30" t="inlineStr"/>
      <c r="Z14" s="30" t="inlineStr"/>
      <c r="AA14" s="30" t="inlineStr"/>
      <c r="AB14" s="30" t="inlineStr"/>
      <c r="AC14" s="30" t="inlineStr"/>
      <c r="AD14" s="30" t="inlineStr"/>
      <c r="AE14" s="30" t="inlineStr"/>
      <c r="AF14" s="30" t="inlineStr"/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/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27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  <c r="CK14" s="30" t="inlineStr"/>
      <c r="CL14" s="30" t="inlineStr"/>
      <c r="CM14" s="30" t="inlineStr"/>
      <c r="CN14" s="30" t="inlineStr"/>
      <c r="CO14" s="30" t="inlineStr"/>
      <c r="CP14" s="30" t="inlineStr"/>
      <c r="CQ14" s="30" t="inlineStr"/>
      <c r="CR14" s="30" t="inlineStr"/>
      <c r="CS14" s="30" t="inlineStr"/>
      <c r="CT14" s="30" t="inlineStr"/>
      <c r="CU14" s="30" t="inlineStr"/>
      <c r="CV14" s="30" t="inlineStr"/>
      <c r="CW14" s="30" t="inlineStr"/>
      <c r="CX14" s="30" t="inlineStr"/>
      <c r="CY14" s="30" t="inlineStr"/>
      <c r="CZ14" s="30" t="inlineStr"/>
      <c r="DA14" s="30" t="inlineStr"/>
      <c r="DB14" s="30" t="inlineStr"/>
      <c r="DC14" s="30" t="inlineStr"/>
      <c r="DD14" s="30" t="inlineStr"/>
      <c r="DE14" s="30" t="inlineStr"/>
      <c r="DF14" s="30" t="inlineStr"/>
      <c r="DG14" s="30" t="inlineStr"/>
      <c r="DH14" s="30" t="inlineStr"/>
      <c r="DI14" s="30" t="inlineStr"/>
      <c r="DJ14" s="30" t="inlineStr"/>
      <c r="DK14" s="30" t="inlineStr"/>
      <c r="DL14" s="30" t="inlineStr"/>
      <c r="DM14" s="30" t="inlineStr"/>
    </row>
    <row r="15">
      <c r="A15" s="26" t="inlineStr">
        <is>
          <t>Client Apps + Lifecycle</t>
        </is>
      </c>
      <c r="B15" s="26" t="inlineStr">
        <is>
          <t>P3</t>
        </is>
      </c>
      <c r="C15" s="26" t="n">
        <v>67</v>
      </c>
      <c r="D15" s="26" t="n">
        <v>68</v>
      </c>
      <c r="E15" s="26" t="n">
        <v>2</v>
      </c>
      <c r="F15" s="28" t="inlineStr"/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inlineStr"/>
      <c r="P15" s="28" t="inlineStr"/>
      <c r="Q15" s="28" t="inlineStr"/>
      <c r="R15" s="28" t="inlineStr"/>
      <c r="S15" s="28" t="inlineStr"/>
      <c r="T15" s="28" t="inlineStr"/>
      <c r="U15" s="28" t="inlineStr"/>
      <c r="V15" s="28" t="inlineStr"/>
      <c r="W15" s="28" t="inlineStr"/>
      <c r="X15" s="28" t="inlineStr"/>
      <c r="Y15" s="28" t="inlineStr"/>
      <c r="Z15" s="28" t="inlineStr"/>
      <c r="AA15" s="28" t="inlineStr"/>
      <c r="AB15" s="28" t="inlineStr"/>
      <c r="AC15" s="28" t="inlineStr"/>
      <c r="AD15" s="28" t="inlineStr"/>
      <c r="AE15" s="28" t="inlineStr"/>
      <c r="AF15" s="28" t="inlineStr"/>
      <c r="AG15" s="28" t="inlineStr"/>
      <c r="AH15" s="28" t="inlineStr"/>
      <c r="AI15" s="28" t="inlineStr"/>
      <c r="AJ15" s="28" t="inlineStr"/>
      <c r="AK15" s="28" t="inlineStr"/>
      <c r="AL15" s="28" t="inlineStr"/>
      <c r="AM15" s="28" t="inlineStr"/>
      <c r="AN15" s="28" t="inlineStr"/>
      <c r="AO15" s="28" t="inlineStr"/>
      <c r="AP15" s="28" t="inlineStr"/>
      <c r="AQ15" s="28" t="inlineStr"/>
      <c r="AR15" s="28" t="inlineStr"/>
      <c r="AS15" s="28" t="inlineStr"/>
      <c r="AT15" s="28" t="inlineStr"/>
      <c r="AU15" s="28" t="inlineStr"/>
      <c r="AV15" s="28" t="inlineStr"/>
      <c r="AW15" s="28" t="inlineStr"/>
      <c r="AX15" s="28" t="inlineStr"/>
      <c r="AY15" s="28" t="inlineStr"/>
      <c r="AZ15" s="28" t="inlineStr"/>
      <c r="BA15" s="28" t="inlineStr"/>
      <c r="BB15" s="28" t="inlineStr"/>
      <c r="BC15" s="28" t="inlineStr"/>
      <c r="BD15" s="28" t="inlineStr"/>
      <c r="BE15" s="28" t="inlineStr"/>
      <c r="BF15" s="28" t="inlineStr"/>
      <c r="BG15" s="28" t="inlineStr"/>
      <c r="BH15" s="28" t="inlineStr"/>
      <c r="BI15" s="28" t="inlineStr"/>
      <c r="BJ15" s="28" t="inlineStr"/>
      <c r="BK15" s="28" t="inlineStr"/>
      <c r="BL15" s="28" t="inlineStr"/>
      <c r="BM15" s="28" t="inlineStr"/>
      <c r="BN15" s="28" t="inlineStr"/>
      <c r="BO15" s="28" t="inlineStr"/>
      <c r="BP15" s="28" t="inlineStr"/>
      <c r="BQ15" s="28" t="inlineStr"/>
      <c r="BR15" s="28" t="inlineStr"/>
      <c r="BS15" s="28" t="inlineStr"/>
      <c r="BT15" s="31" t="inlineStr"/>
      <c r="BU15" s="31" t="inlineStr"/>
      <c r="BV15" s="28" t="inlineStr"/>
      <c r="BW15" s="28" t="inlineStr"/>
      <c r="BX15" s="28" t="inlineStr"/>
      <c r="BY15" s="28" t="inlineStr"/>
      <c r="BZ15" s="28" t="inlineStr"/>
      <c r="CA15" s="28" t="inlineStr"/>
      <c r="CB15" s="28" t="inlineStr"/>
      <c r="CC15" s="28" t="inlineStr"/>
      <c r="CD15" s="28" t="inlineStr"/>
      <c r="CE15" s="28" t="inlineStr"/>
      <c r="CF15" s="28" t="inlineStr"/>
      <c r="CG15" s="28" t="inlineStr"/>
      <c r="CH15" s="28" t="inlineStr"/>
      <c r="CI15" s="28" t="inlineStr"/>
      <c r="CJ15" s="28" t="inlineStr"/>
      <c r="CK15" s="28" t="inlineStr"/>
      <c r="CL15" s="28" t="inlineStr"/>
      <c r="CM15" s="28" t="inlineStr"/>
      <c r="CN15" s="28" t="inlineStr"/>
      <c r="CO15" s="28" t="inlineStr"/>
      <c r="CP15" s="28" t="inlineStr"/>
      <c r="CQ15" s="28" t="inlineStr"/>
      <c r="CR15" s="28" t="inlineStr"/>
      <c r="CS15" s="28" t="inlineStr"/>
      <c r="CT15" s="28" t="inlineStr"/>
      <c r="CU15" s="28" t="inlineStr"/>
      <c r="CV15" s="28" t="inlineStr"/>
      <c r="CW15" s="28" t="inlineStr"/>
      <c r="CX15" s="28" t="inlineStr"/>
      <c r="CY15" s="28" t="inlineStr"/>
      <c r="CZ15" s="28" t="inlineStr"/>
      <c r="DA15" s="28" t="inlineStr"/>
      <c r="DB15" s="28" t="inlineStr"/>
      <c r="DC15" s="28" t="inlineStr"/>
      <c r="DD15" s="28" t="inlineStr"/>
      <c r="DE15" s="28" t="inlineStr"/>
      <c r="DF15" s="28" t="inlineStr"/>
      <c r="DG15" s="28" t="inlineStr"/>
      <c r="DH15" s="28" t="inlineStr"/>
      <c r="DI15" s="28" t="inlineStr"/>
      <c r="DJ15" s="28" t="inlineStr"/>
      <c r="DK15" s="28" t="inlineStr"/>
      <c r="DL15" s="28" t="inlineStr"/>
      <c r="DM15" s="28" t="inlineStr"/>
    </row>
    <row r="16">
      <c r="A16" s="29" t="inlineStr">
        <is>
          <t>Entity Merge + Evolution</t>
        </is>
      </c>
      <c r="B16" s="29" t="inlineStr">
        <is>
          <t>P3</t>
        </is>
      </c>
      <c r="C16" s="29" t="n">
        <v>69</v>
      </c>
      <c r="D16" s="29" t="n">
        <v>73</v>
      </c>
      <c r="E16" s="29" t="n">
        <v>5</v>
      </c>
      <c r="F16" s="30" t="inlineStr"/>
      <c r="G16" s="30" t="inlineStr"/>
      <c r="H16" s="30" t="inlineStr"/>
      <c r="I16" s="30" t="inlineStr"/>
      <c r="J16" s="30" t="inlineStr"/>
      <c r="K16" s="30" t="inlineStr"/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/>
      <c r="V16" s="30" t="inlineStr"/>
      <c r="W16" s="30" t="inlineStr"/>
      <c r="X16" s="30" t="inlineStr"/>
      <c r="Y16" s="30" t="inlineStr"/>
      <c r="Z16" s="30" t="inlineStr"/>
      <c r="AA16" s="30" t="inlineStr"/>
      <c r="AB16" s="30" t="inlineStr"/>
      <c r="AC16" s="30" t="inlineStr"/>
      <c r="AD16" s="30" t="inlineStr"/>
      <c r="AE16" s="30" t="inlineStr"/>
      <c r="AF16" s="30" t="inlineStr"/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/>
      <c r="BE16" s="30" t="inlineStr"/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1" t="inlineStr"/>
      <c r="BW16" s="31" t="inlineStr"/>
      <c r="BX16" s="31" t="inlineStr"/>
      <c r="BY16" s="31" t="inlineStr"/>
      <c r="BZ16" s="31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  <c r="CK16" s="30" t="inlineStr"/>
      <c r="CL16" s="30" t="inlineStr"/>
      <c r="CM16" s="30" t="inlineStr"/>
      <c r="CN16" s="30" t="inlineStr"/>
      <c r="CO16" s="30" t="inlineStr"/>
      <c r="CP16" s="30" t="inlineStr"/>
      <c r="CQ16" s="30" t="inlineStr"/>
      <c r="CR16" s="30" t="inlineStr"/>
      <c r="CS16" s="30" t="inlineStr"/>
      <c r="CT16" s="30" t="inlineStr"/>
      <c r="CU16" s="30" t="inlineStr"/>
      <c r="CV16" s="30" t="inlineStr"/>
      <c r="CW16" s="30" t="inlineStr"/>
      <c r="CX16" s="30" t="inlineStr"/>
      <c r="CY16" s="30" t="inlineStr"/>
      <c r="CZ16" s="30" t="inlineStr"/>
      <c r="DA16" s="30" t="inlineStr"/>
      <c r="DB16" s="30" t="inlineStr"/>
      <c r="DC16" s="30" t="inlineStr"/>
      <c r="DD16" s="30" t="inlineStr"/>
      <c r="DE16" s="30" t="inlineStr"/>
      <c r="DF16" s="30" t="inlineStr"/>
      <c r="DG16" s="30" t="inlineStr"/>
      <c r="DH16" s="30" t="inlineStr"/>
      <c r="DI16" s="30" t="inlineStr"/>
      <c r="DJ16" s="30" t="inlineStr"/>
      <c r="DK16" s="30" t="inlineStr"/>
      <c r="DL16" s="30" t="inlineStr"/>
      <c r="DM16" s="30" t="inlineStr"/>
    </row>
    <row r="17">
      <c r="A17" s="26" t="inlineStr">
        <is>
          <t>Self-Healing</t>
        </is>
      </c>
      <c r="B17" s="26" t="inlineStr">
        <is>
          <t>P3</t>
        </is>
      </c>
      <c r="C17" s="26" t="n">
        <v>74</v>
      </c>
      <c r="D17" s="26" t="n">
        <v>77</v>
      </c>
      <c r="E17" s="26" t="n">
        <v>4</v>
      </c>
      <c r="F17" s="28" t="inlineStr"/>
      <c r="G17" s="28" t="inlineStr"/>
      <c r="H17" s="28" t="inlineStr"/>
      <c r="I17" s="28" t="inlineStr"/>
      <c r="J17" s="28" t="inlineStr"/>
      <c r="K17" s="28" t="inlineStr"/>
      <c r="L17" s="28" t="inlineStr"/>
      <c r="M17" s="28" t="inlineStr"/>
      <c r="N17" s="28" t="inlineStr"/>
      <c r="O17" s="28" t="inlineStr"/>
      <c r="P17" s="28" t="inlineStr"/>
      <c r="Q17" s="28" t="inlineStr"/>
      <c r="R17" s="28" t="inlineStr"/>
      <c r="S17" s="28" t="inlineStr"/>
      <c r="T17" s="28" t="inlineStr"/>
      <c r="U17" s="28" t="inlineStr"/>
      <c r="V17" s="28" t="inlineStr"/>
      <c r="W17" s="28" t="inlineStr"/>
      <c r="X17" s="28" t="inlineStr"/>
      <c r="Y17" s="28" t="inlineStr"/>
      <c r="Z17" s="28" t="inlineStr"/>
      <c r="AA17" s="28" t="inlineStr"/>
      <c r="AB17" s="28" t="inlineStr"/>
      <c r="AC17" s="28" t="inlineStr"/>
      <c r="AD17" s="28" t="inlineStr"/>
      <c r="AE17" s="28" t="inlineStr"/>
      <c r="AF17" s="28" t="inlineStr"/>
      <c r="AG17" s="28" t="inlineStr"/>
      <c r="AH17" s="28" t="inlineStr"/>
      <c r="AI17" s="28" t="inlineStr"/>
      <c r="AJ17" s="28" t="inlineStr"/>
      <c r="AK17" s="28" t="inlineStr"/>
      <c r="AL17" s="28" t="inlineStr"/>
      <c r="AM17" s="28" t="inlineStr"/>
      <c r="AN17" s="28" t="inlineStr"/>
      <c r="AO17" s="28" t="inlineStr"/>
      <c r="AP17" s="28" t="inlineStr"/>
      <c r="AQ17" s="28" t="inlineStr"/>
      <c r="AR17" s="28" t="inlineStr"/>
      <c r="AS17" s="28" t="inlineStr"/>
      <c r="AT17" s="28" t="inlineStr"/>
      <c r="AU17" s="28" t="inlineStr"/>
      <c r="AV17" s="28" t="inlineStr"/>
      <c r="AW17" s="28" t="inlineStr"/>
      <c r="AX17" s="28" t="inlineStr"/>
      <c r="AY17" s="28" t="inlineStr"/>
      <c r="AZ17" s="28" t="inlineStr"/>
      <c r="BA17" s="28" t="inlineStr"/>
      <c r="BB17" s="28" t="inlineStr"/>
      <c r="BC17" s="28" t="inlineStr"/>
      <c r="BD17" s="28" t="inlineStr"/>
      <c r="BE17" s="28" t="inlineStr"/>
      <c r="BF17" s="28" t="inlineStr"/>
      <c r="BG17" s="28" t="inlineStr"/>
      <c r="BH17" s="28" t="inlineStr"/>
      <c r="BI17" s="28" t="inlineStr"/>
      <c r="BJ17" s="28" t="inlineStr"/>
      <c r="BK17" s="28" t="inlineStr"/>
      <c r="BL17" s="28" t="inlineStr"/>
      <c r="BM17" s="28" t="inlineStr"/>
      <c r="BN17" s="28" t="inlineStr"/>
      <c r="BO17" s="28" t="inlineStr"/>
      <c r="BP17" s="28" t="inlineStr"/>
      <c r="BQ17" s="28" t="inlineStr"/>
      <c r="BR17" s="28" t="inlineStr"/>
      <c r="BS17" s="28" t="inlineStr"/>
      <c r="BT17" s="28" t="inlineStr"/>
      <c r="BU17" s="28" t="inlineStr"/>
      <c r="BV17" s="28" t="inlineStr"/>
      <c r="BW17" s="28" t="inlineStr"/>
      <c r="BX17" s="28" t="inlineStr"/>
      <c r="BY17" s="28" t="inlineStr"/>
      <c r="BZ17" s="28" t="inlineStr"/>
      <c r="CA17" s="31" t="inlineStr"/>
      <c r="CB17" s="31" t="inlineStr"/>
      <c r="CC17" s="31" t="inlineStr"/>
      <c r="CD17" s="31" t="inlineStr"/>
      <c r="CE17" s="28" t="inlineStr"/>
      <c r="CF17" s="28" t="inlineStr"/>
      <c r="CG17" s="28" t="inlineStr"/>
      <c r="CH17" s="28" t="inlineStr"/>
      <c r="CI17" s="28" t="inlineStr"/>
      <c r="CJ17" s="28" t="inlineStr"/>
      <c r="CK17" s="28" t="inlineStr"/>
      <c r="CL17" s="28" t="inlineStr"/>
      <c r="CM17" s="28" t="inlineStr"/>
      <c r="CN17" s="28" t="inlineStr"/>
      <c r="CO17" s="28" t="inlineStr"/>
      <c r="CP17" s="28" t="inlineStr"/>
      <c r="CQ17" s="28" t="inlineStr"/>
      <c r="CR17" s="28" t="inlineStr"/>
      <c r="CS17" s="28" t="inlineStr"/>
      <c r="CT17" s="28" t="inlineStr"/>
      <c r="CU17" s="28" t="inlineStr"/>
      <c r="CV17" s="28" t="inlineStr"/>
      <c r="CW17" s="28" t="inlineStr"/>
      <c r="CX17" s="28" t="inlineStr"/>
      <c r="CY17" s="28" t="inlineStr"/>
      <c r="CZ17" s="28" t="inlineStr"/>
      <c r="DA17" s="28" t="inlineStr"/>
      <c r="DB17" s="28" t="inlineStr"/>
      <c r="DC17" s="28" t="inlineStr"/>
      <c r="DD17" s="28" t="inlineStr"/>
      <c r="DE17" s="28" t="inlineStr"/>
      <c r="DF17" s="28" t="inlineStr"/>
      <c r="DG17" s="28" t="inlineStr"/>
      <c r="DH17" s="28" t="inlineStr"/>
      <c r="DI17" s="28" t="inlineStr"/>
      <c r="DJ17" s="28" t="inlineStr"/>
      <c r="DK17" s="28" t="inlineStr"/>
      <c r="DL17" s="28" t="inlineStr"/>
      <c r="DM17" s="28" t="inlineStr"/>
    </row>
    <row r="18">
      <c r="A18" s="29" t="inlineStr">
        <is>
          <t>Webhook Support + Bulk Ops</t>
        </is>
      </c>
      <c r="B18" s="29" t="inlineStr">
        <is>
          <t>P3</t>
        </is>
      </c>
      <c r="C18" s="29" t="n">
        <v>78</v>
      </c>
      <c r="D18" s="29" t="n">
        <v>81</v>
      </c>
      <c r="E18" s="29" t="n">
        <v>4</v>
      </c>
      <c r="F18" s="30" t="inlineStr"/>
      <c r="G18" s="30" t="inlineStr"/>
      <c r="H18" s="30" t="inlineStr"/>
      <c r="I18" s="30" t="inlineStr"/>
      <c r="J18" s="30" t="inlineStr"/>
      <c r="K18" s="30" t="inlineStr"/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30" t="inlineStr"/>
      <c r="V18" s="30" t="inlineStr"/>
      <c r="W18" s="30" t="inlineStr"/>
      <c r="X18" s="30" t="inlineStr"/>
      <c r="Y18" s="30" t="inlineStr"/>
      <c r="Z18" s="30" t="inlineStr"/>
      <c r="AA18" s="30" t="inlineStr"/>
      <c r="AB18" s="30" t="inlineStr"/>
      <c r="AC18" s="30" t="inlineStr"/>
      <c r="AD18" s="30" t="inlineStr"/>
      <c r="AE18" s="30" t="inlineStr"/>
      <c r="AF18" s="30" t="inlineStr"/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/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/>
      <c r="BE18" s="30" t="inlineStr"/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1" t="inlineStr"/>
      <c r="CF18" s="31" t="inlineStr"/>
      <c r="CG18" s="31" t="inlineStr"/>
      <c r="CH18" s="31" t="inlineStr"/>
      <c r="CI18" s="30" t="inlineStr"/>
      <c r="CJ18" s="30" t="inlineStr"/>
      <c r="CK18" s="30" t="inlineStr"/>
      <c r="CL18" s="30" t="inlineStr"/>
      <c r="CM18" s="30" t="inlineStr"/>
      <c r="CN18" s="30" t="inlineStr"/>
      <c r="CO18" s="30" t="inlineStr"/>
      <c r="CP18" s="30" t="inlineStr"/>
      <c r="CQ18" s="30" t="inlineStr"/>
      <c r="CR18" s="30" t="inlineStr"/>
      <c r="CS18" s="30" t="inlineStr"/>
      <c r="CT18" s="30" t="inlineStr"/>
      <c r="CU18" s="30" t="inlineStr"/>
      <c r="CV18" s="30" t="inlineStr"/>
      <c r="CW18" s="30" t="inlineStr"/>
      <c r="CX18" s="30" t="inlineStr"/>
      <c r="CY18" s="30" t="inlineStr"/>
      <c r="CZ18" s="30" t="inlineStr"/>
      <c r="DA18" s="30" t="inlineStr"/>
      <c r="DB18" s="30" t="inlineStr"/>
      <c r="DC18" s="30" t="inlineStr"/>
      <c r="DD18" s="30" t="inlineStr"/>
      <c r="DE18" s="30" t="inlineStr"/>
      <c r="DF18" s="30" t="inlineStr"/>
      <c r="DG18" s="30" t="inlineStr"/>
      <c r="DH18" s="30" t="inlineStr"/>
      <c r="DI18" s="30" t="inlineStr"/>
      <c r="DJ18" s="30" t="inlineStr"/>
      <c r="DK18" s="30" t="inlineStr"/>
      <c r="DL18" s="30" t="inlineStr"/>
      <c r="DM18" s="30" t="inlineStr"/>
    </row>
    <row r="19">
      <c r="A19" s="26" t="inlineStr">
        <is>
          <t>Audit + Resource RBAC</t>
        </is>
      </c>
      <c r="B19" s="26" t="inlineStr">
        <is>
          <t>P3</t>
        </is>
      </c>
      <c r="C19" s="26" t="n">
        <v>82</v>
      </c>
      <c r="D19" s="26" t="n">
        <v>85</v>
      </c>
      <c r="E19" s="26" t="n">
        <v>4</v>
      </c>
      <c r="F19" s="28" t="inlineStr"/>
      <c r="G19" s="28" t="inlineStr"/>
      <c r="H19" s="28" t="inlineStr"/>
      <c r="I19" s="28" t="inlineStr"/>
      <c r="J19" s="28" t="inlineStr"/>
      <c r="K19" s="28" t="inlineStr"/>
      <c r="L19" s="28" t="inlineStr"/>
      <c r="M19" s="28" t="inlineStr"/>
      <c r="N19" s="28" t="inlineStr"/>
      <c r="O19" s="28" t="inlineStr"/>
      <c r="P19" s="28" t="inlineStr"/>
      <c r="Q19" s="28" t="inlineStr"/>
      <c r="R19" s="28" t="inlineStr"/>
      <c r="S19" s="28" t="inlineStr"/>
      <c r="T19" s="28" t="inlineStr"/>
      <c r="U19" s="28" t="inlineStr"/>
      <c r="V19" s="28" t="inlineStr"/>
      <c r="W19" s="28" t="inlineStr"/>
      <c r="X19" s="28" t="inlineStr"/>
      <c r="Y19" s="28" t="inlineStr"/>
      <c r="Z19" s="28" t="inlineStr"/>
      <c r="AA19" s="28" t="inlineStr"/>
      <c r="AB19" s="28" t="inlineStr"/>
      <c r="AC19" s="28" t="inlineStr"/>
      <c r="AD19" s="28" t="inlineStr"/>
      <c r="AE19" s="28" t="inlineStr"/>
      <c r="AF19" s="28" t="inlineStr"/>
      <c r="AG19" s="28" t="inlineStr"/>
      <c r="AH19" s="28" t="inlineStr"/>
      <c r="AI19" s="28" t="inlineStr"/>
      <c r="AJ19" s="28" t="inlineStr"/>
      <c r="AK19" s="28" t="inlineStr"/>
      <c r="AL19" s="28" t="inlineStr"/>
      <c r="AM19" s="28" t="inlineStr"/>
      <c r="AN19" s="28" t="inlineStr"/>
      <c r="AO19" s="28" t="inlineStr"/>
      <c r="AP19" s="28" t="inlineStr"/>
      <c r="AQ19" s="28" t="inlineStr"/>
      <c r="AR19" s="28" t="inlineStr"/>
      <c r="AS19" s="28" t="inlineStr"/>
      <c r="AT19" s="28" t="inlineStr"/>
      <c r="AU19" s="28" t="inlineStr"/>
      <c r="AV19" s="28" t="inlineStr"/>
      <c r="AW19" s="28" t="inlineStr"/>
      <c r="AX19" s="28" t="inlineStr"/>
      <c r="AY19" s="28" t="inlineStr"/>
      <c r="AZ19" s="28" t="inlineStr"/>
      <c r="BA19" s="28" t="inlineStr"/>
      <c r="BB19" s="28" t="inlineStr"/>
      <c r="BC19" s="28" t="inlineStr"/>
      <c r="BD19" s="28" t="inlineStr"/>
      <c r="BE19" s="28" t="inlineStr"/>
      <c r="BF19" s="28" t="inlineStr"/>
      <c r="BG19" s="28" t="inlineStr"/>
      <c r="BH19" s="28" t="inlineStr"/>
      <c r="BI19" s="28" t="inlineStr"/>
      <c r="BJ19" s="28" t="inlineStr"/>
      <c r="BK19" s="28" t="inlineStr"/>
      <c r="BL19" s="28" t="inlineStr"/>
      <c r="BM19" s="28" t="inlineStr"/>
      <c r="BN19" s="28" t="inlineStr"/>
      <c r="BO19" s="28" t="inlineStr"/>
      <c r="BP19" s="28" t="inlineStr"/>
      <c r="BQ19" s="28" t="inlineStr"/>
      <c r="BR19" s="28" t="inlineStr"/>
      <c r="BS19" s="28" t="inlineStr"/>
      <c r="BT19" s="28" t="inlineStr"/>
      <c r="BU19" s="28" t="inlineStr"/>
      <c r="BV19" s="28" t="inlineStr"/>
      <c r="BW19" s="28" t="inlineStr"/>
      <c r="BX19" s="28" t="inlineStr"/>
      <c r="BY19" s="28" t="inlineStr"/>
      <c r="BZ19" s="28" t="inlineStr"/>
      <c r="CA19" s="28" t="inlineStr"/>
      <c r="CB19" s="28" t="inlineStr"/>
      <c r="CC19" s="28" t="inlineStr"/>
      <c r="CD19" s="28" t="inlineStr"/>
      <c r="CE19" s="28" t="inlineStr"/>
      <c r="CF19" s="28" t="inlineStr"/>
      <c r="CG19" s="28" t="inlineStr"/>
      <c r="CH19" s="28" t="inlineStr"/>
      <c r="CI19" s="31" t="inlineStr"/>
      <c r="CJ19" s="31" t="inlineStr"/>
      <c r="CK19" s="31" t="inlineStr"/>
      <c r="CL19" s="31" t="inlineStr"/>
      <c r="CM19" s="28" t="inlineStr"/>
      <c r="CN19" s="28" t="inlineStr"/>
      <c r="CO19" s="28" t="inlineStr"/>
      <c r="CP19" s="28" t="inlineStr"/>
      <c r="CQ19" s="28" t="inlineStr"/>
      <c r="CR19" s="28" t="inlineStr"/>
      <c r="CS19" s="28" t="inlineStr"/>
      <c r="CT19" s="28" t="inlineStr"/>
      <c r="CU19" s="28" t="inlineStr"/>
      <c r="CV19" s="28" t="inlineStr"/>
      <c r="CW19" s="28" t="inlineStr"/>
      <c r="CX19" s="28" t="inlineStr"/>
      <c r="CY19" s="28" t="inlineStr"/>
      <c r="CZ19" s="28" t="inlineStr"/>
      <c r="DA19" s="28" t="inlineStr"/>
      <c r="DB19" s="28" t="inlineStr"/>
      <c r="DC19" s="28" t="inlineStr"/>
      <c r="DD19" s="28" t="inlineStr"/>
      <c r="DE19" s="28" t="inlineStr"/>
      <c r="DF19" s="28" t="inlineStr"/>
      <c r="DG19" s="28" t="inlineStr"/>
      <c r="DH19" s="28" t="inlineStr"/>
      <c r="DI19" s="28" t="inlineStr"/>
      <c r="DJ19" s="28" t="inlineStr"/>
      <c r="DK19" s="28" t="inlineStr"/>
      <c r="DL19" s="28" t="inlineStr"/>
      <c r="DM19" s="28" t="inlineStr"/>
    </row>
    <row r="20">
      <c r="A20" s="29" t="inlineStr">
        <is>
          <t>AI Help Assistant</t>
        </is>
      </c>
      <c r="B20" s="29" t="inlineStr">
        <is>
          <t>P3</t>
        </is>
      </c>
      <c r="C20" s="29" t="n">
        <v>86</v>
      </c>
      <c r="D20" s="29" t="n">
        <v>89</v>
      </c>
      <c r="E20" s="29" t="n">
        <v>4</v>
      </c>
      <c r="F20" s="30" t="inlineStr"/>
      <c r="G20" s="30" t="inlineStr"/>
      <c r="H20" s="30" t="inlineStr"/>
      <c r="I20" s="30" t="inlineStr"/>
      <c r="J20" s="30" t="inlineStr"/>
      <c r="K20" s="30" t="inlineStr"/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/>
      <c r="U20" s="30" t="inlineStr"/>
      <c r="V20" s="30" t="inlineStr"/>
      <c r="W20" s="30" t="inlineStr"/>
      <c r="X20" s="30" t="inlineStr"/>
      <c r="Y20" s="30" t="inlineStr"/>
      <c r="Z20" s="30" t="inlineStr"/>
      <c r="AA20" s="30" t="inlineStr"/>
      <c r="AB20" s="30" t="inlineStr"/>
      <c r="AC20" s="30" t="inlineStr"/>
      <c r="AD20" s="30" t="inlineStr"/>
      <c r="AE20" s="30" t="inlineStr"/>
      <c r="AF20" s="30" t="inlineStr"/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/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  <c r="CK20" s="30" t="inlineStr"/>
      <c r="CL20" s="30" t="inlineStr"/>
      <c r="CM20" s="31" t="inlineStr"/>
      <c r="CN20" s="31" t="inlineStr"/>
      <c r="CO20" s="31" t="inlineStr"/>
      <c r="CP20" s="31" t="inlineStr"/>
      <c r="CQ20" s="30" t="inlineStr"/>
      <c r="CR20" s="30" t="inlineStr"/>
      <c r="CS20" s="30" t="inlineStr"/>
      <c r="CT20" s="30" t="inlineStr"/>
      <c r="CU20" s="30" t="inlineStr"/>
      <c r="CV20" s="30" t="inlineStr"/>
      <c r="CW20" s="30" t="inlineStr"/>
      <c r="CX20" s="30" t="inlineStr"/>
      <c r="CY20" s="30" t="inlineStr"/>
      <c r="CZ20" s="30" t="inlineStr"/>
      <c r="DA20" s="30" t="inlineStr"/>
      <c r="DB20" s="30" t="inlineStr"/>
      <c r="DC20" s="30" t="inlineStr"/>
      <c r="DD20" s="30" t="inlineStr"/>
      <c r="DE20" s="30" t="inlineStr"/>
      <c r="DF20" s="30" t="inlineStr"/>
      <c r="DG20" s="30" t="inlineStr"/>
      <c r="DH20" s="30" t="inlineStr"/>
      <c r="DI20" s="30" t="inlineStr"/>
      <c r="DJ20" s="30" t="inlineStr"/>
      <c r="DK20" s="30" t="inlineStr"/>
      <c r="DL20" s="30" t="inlineStr"/>
      <c r="DM20" s="30" t="inlineStr"/>
    </row>
    <row r="21">
      <c r="A21" s="26" t="inlineStr">
        <is>
          <t>Phase 3 Destinations (Ahrefs/GSC/Adwords)</t>
        </is>
      </c>
      <c r="B21" s="26" t="inlineStr">
        <is>
          <t>P3</t>
        </is>
      </c>
      <c r="C21" s="26" t="n">
        <v>90</v>
      </c>
      <c r="D21" s="26" t="n">
        <v>95</v>
      </c>
      <c r="E21" s="26" t="n">
        <v>6</v>
      </c>
      <c r="F21" s="28" t="inlineStr"/>
      <c r="G21" s="28" t="inlineStr"/>
      <c r="H21" s="28" t="inlineStr"/>
      <c r="I21" s="28" t="inlineStr"/>
      <c r="J21" s="28" t="inlineStr"/>
      <c r="K21" s="28" t="inlineStr"/>
      <c r="L21" s="28" t="inlineStr"/>
      <c r="M21" s="28" t="inlineStr"/>
      <c r="N21" s="28" t="inlineStr"/>
      <c r="O21" s="28" t="inlineStr"/>
      <c r="P21" s="28" t="inlineStr"/>
      <c r="Q21" s="28" t="inlineStr"/>
      <c r="R21" s="28" t="inlineStr"/>
      <c r="S21" s="28" t="inlineStr"/>
      <c r="T21" s="28" t="inlineStr"/>
      <c r="U21" s="28" t="inlineStr"/>
      <c r="V21" s="28" t="inlineStr"/>
      <c r="W21" s="28" t="inlineStr"/>
      <c r="X21" s="28" t="inlineStr"/>
      <c r="Y21" s="28" t="inlineStr"/>
      <c r="Z21" s="28" t="inlineStr"/>
      <c r="AA21" s="28" t="inlineStr"/>
      <c r="AB21" s="28" t="inlineStr"/>
      <c r="AC21" s="28" t="inlineStr"/>
      <c r="AD21" s="28" t="inlineStr"/>
      <c r="AE21" s="28" t="inlineStr"/>
      <c r="AF21" s="28" t="inlineStr"/>
      <c r="AG21" s="28" t="inlineStr"/>
      <c r="AH21" s="28" t="inlineStr"/>
      <c r="AI21" s="28" t="inlineStr"/>
      <c r="AJ21" s="28" t="inlineStr"/>
      <c r="AK21" s="28" t="inlineStr"/>
      <c r="AL21" s="28" t="inlineStr"/>
      <c r="AM21" s="28" t="inlineStr"/>
      <c r="AN21" s="28" t="inlineStr"/>
      <c r="AO21" s="28" t="inlineStr"/>
      <c r="AP21" s="28" t="inlineStr"/>
      <c r="AQ21" s="28" t="inlineStr"/>
      <c r="AR21" s="28" t="inlineStr"/>
      <c r="AS21" s="28" t="inlineStr"/>
      <c r="AT21" s="28" t="inlineStr"/>
      <c r="AU21" s="28" t="inlineStr"/>
      <c r="AV21" s="28" t="inlineStr"/>
      <c r="AW21" s="28" t="inlineStr"/>
      <c r="AX21" s="28" t="inlineStr"/>
      <c r="AY21" s="28" t="inlineStr"/>
      <c r="AZ21" s="28" t="inlineStr"/>
      <c r="BA21" s="28" t="inlineStr"/>
      <c r="BB21" s="28" t="inlineStr"/>
      <c r="BC21" s="28" t="inlineStr"/>
      <c r="BD21" s="28" t="inlineStr"/>
      <c r="BE21" s="28" t="inlineStr"/>
      <c r="BF21" s="28" t="inlineStr"/>
      <c r="BG21" s="28" t="inlineStr"/>
      <c r="BH21" s="28" t="inlineStr"/>
      <c r="BI21" s="28" t="inlineStr"/>
      <c r="BJ21" s="28" t="inlineStr"/>
      <c r="BK21" s="28" t="inlineStr"/>
      <c r="BL21" s="28" t="inlineStr"/>
      <c r="BM21" s="28" t="inlineStr"/>
      <c r="BN21" s="28" t="inlineStr"/>
      <c r="BO21" s="28" t="inlineStr"/>
      <c r="BP21" s="28" t="inlineStr"/>
      <c r="BQ21" s="28" t="inlineStr"/>
      <c r="BR21" s="28" t="inlineStr"/>
      <c r="BS21" s="28" t="inlineStr"/>
      <c r="BT21" s="28" t="inlineStr"/>
      <c r="BU21" s="28" t="inlineStr"/>
      <c r="BV21" s="28" t="inlineStr"/>
      <c r="BW21" s="28" t="inlineStr"/>
      <c r="BX21" s="28" t="inlineStr"/>
      <c r="BY21" s="28" t="inlineStr"/>
      <c r="BZ21" s="28" t="inlineStr"/>
      <c r="CA21" s="28" t="inlineStr"/>
      <c r="CB21" s="28" t="inlineStr"/>
      <c r="CC21" s="28" t="inlineStr"/>
      <c r="CD21" s="28" t="inlineStr"/>
      <c r="CE21" s="28" t="inlineStr"/>
      <c r="CF21" s="28" t="inlineStr"/>
      <c r="CG21" s="28" t="inlineStr"/>
      <c r="CH21" s="28" t="inlineStr"/>
      <c r="CI21" s="28" t="inlineStr"/>
      <c r="CJ21" s="28" t="inlineStr"/>
      <c r="CK21" s="28" t="inlineStr"/>
      <c r="CL21" s="28" t="inlineStr"/>
      <c r="CM21" s="28" t="inlineStr"/>
      <c r="CN21" s="28" t="inlineStr"/>
      <c r="CO21" s="28" t="inlineStr"/>
      <c r="CP21" s="28" t="inlineStr"/>
      <c r="CQ21" s="31" t="inlineStr"/>
      <c r="CR21" s="31" t="inlineStr"/>
      <c r="CS21" s="31" t="inlineStr"/>
      <c r="CT21" s="31" t="inlineStr"/>
      <c r="CU21" s="31" t="inlineStr"/>
      <c r="CV21" s="31" t="inlineStr"/>
      <c r="CW21" s="28" t="inlineStr"/>
      <c r="CX21" s="28" t="inlineStr"/>
      <c r="CY21" s="28" t="inlineStr"/>
      <c r="CZ21" s="28" t="inlineStr"/>
      <c r="DA21" s="28" t="inlineStr"/>
      <c r="DB21" s="28" t="inlineStr"/>
      <c r="DC21" s="28" t="inlineStr"/>
      <c r="DD21" s="28" t="inlineStr"/>
      <c r="DE21" s="28" t="inlineStr"/>
      <c r="DF21" s="28" t="inlineStr"/>
      <c r="DG21" s="28" t="inlineStr"/>
      <c r="DH21" s="28" t="inlineStr"/>
      <c r="DI21" s="28" t="inlineStr"/>
      <c r="DJ21" s="28" t="inlineStr"/>
      <c r="DK21" s="28" t="inlineStr"/>
      <c r="DL21" s="28" t="inlineStr"/>
      <c r="DM21" s="28" t="inlineStr"/>
    </row>
    <row r="22">
      <c r="A22" s="29" t="inlineStr">
        <is>
          <t>Theme + PWA</t>
        </is>
      </c>
      <c r="B22" s="29" t="inlineStr">
        <is>
          <t>P4</t>
        </is>
      </c>
      <c r="C22" s="29" t="n">
        <v>96</v>
      </c>
      <c r="D22" s="29" t="n">
        <v>99</v>
      </c>
      <c r="E22" s="29" t="n">
        <v>4</v>
      </c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/>
      <c r="AB22" s="30" t="inlineStr"/>
      <c r="AC22" s="30" t="inlineStr"/>
      <c r="AD22" s="30" t="inlineStr"/>
      <c r="AE22" s="30" t="inlineStr"/>
      <c r="AF22" s="30" t="inlineStr"/>
      <c r="AG22" s="30" t="inlineStr"/>
      <c r="AH22" s="30" t="inlineStr"/>
      <c r="AI22" s="30" t="inlineStr"/>
      <c r="AJ22" s="30" t="inlineStr"/>
      <c r="AK22" s="30" t="inlineStr"/>
      <c r="AL22" s="30" t="inlineStr"/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/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/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  <c r="CK22" s="30" t="inlineStr"/>
      <c r="CL22" s="30" t="inlineStr"/>
      <c r="CM22" s="30" t="inlineStr"/>
      <c r="CN22" s="30" t="inlineStr"/>
      <c r="CO22" s="30" t="inlineStr"/>
      <c r="CP22" s="30" t="inlineStr"/>
      <c r="CQ22" s="30" t="inlineStr"/>
      <c r="CR22" s="30" t="inlineStr"/>
      <c r="CS22" s="30" t="inlineStr"/>
      <c r="CT22" s="30" t="inlineStr"/>
      <c r="CU22" s="30" t="inlineStr"/>
      <c r="CV22" s="30" t="inlineStr"/>
      <c r="CW22" s="32" t="inlineStr"/>
      <c r="CX22" s="32" t="inlineStr"/>
      <c r="CY22" s="32" t="inlineStr"/>
      <c r="CZ22" s="32" t="inlineStr"/>
      <c r="DA22" s="30" t="inlineStr"/>
      <c r="DB22" s="30" t="inlineStr"/>
      <c r="DC22" s="30" t="inlineStr"/>
      <c r="DD22" s="30" t="inlineStr"/>
      <c r="DE22" s="30" t="inlineStr"/>
      <c r="DF22" s="30" t="inlineStr"/>
      <c r="DG22" s="30" t="inlineStr"/>
      <c r="DH22" s="30" t="inlineStr"/>
      <c r="DI22" s="30" t="inlineStr"/>
      <c r="DJ22" s="30" t="inlineStr"/>
      <c r="DK22" s="30" t="inlineStr"/>
      <c r="DL22" s="30" t="inlineStr"/>
      <c r="DM22" s="30" t="inlineStr"/>
    </row>
    <row r="23">
      <c r="A23" s="26" t="inlineStr">
        <is>
          <t>Onboarding + Packaging</t>
        </is>
      </c>
      <c r="B23" s="26" t="inlineStr">
        <is>
          <t>P4</t>
        </is>
      </c>
      <c r="C23" s="26" t="n">
        <v>100</v>
      </c>
      <c r="D23" s="26" t="n">
        <v>103</v>
      </c>
      <c r="E23" s="26" t="n">
        <v>4</v>
      </c>
      <c r="F23" s="28" t="inlineStr"/>
      <c r="G23" s="28" t="inlineStr"/>
      <c r="H23" s="28" t="inlineStr"/>
      <c r="I23" s="28" t="inlineStr"/>
      <c r="J23" s="28" t="inlineStr"/>
      <c r="K23" s="28" t="inlineStr"/>
      <c r="L23" s="28" t="inlineStr"/>
      <c r="M23" s="28" t="inlineStr"/>
      <c r="N23" s="28" t="inlineStr"/>
      <c r="O23" s="28" t="inlineStr"/>
      <c r="P23" s="28" t="inlineStr"/>
      <c r="Q23" s="28" t="inlineStr"/>
      <c r="R23" s="28" t="inlineStr"/>
      <c r="S23" s="28" t="inlineStr"/>
      <c r="T23" s="28" t="inlineStr"/>
      <c r="U23" s="28" t="inlineStr"/>
      <c r="V23" s="28" t="inlineStr"/>
      <c r="W23" s="28" t="inlineStr"/>
      <c r="X23" s="28" t="inlineStr"/>
      <c r="Y23" s="28" t="inlineStr"/>
      <c r="Z23" s="28" t="inlineStr"/>
      <c r="AA23" s="28" t="inlineStr"/>
      <c r="AB23" s="28" t="inlineStr"/>
      <c r="AC23" s="28" t="inlineStr"/>
      <c r="AD23" s="28" t="inlineStr"/>
      <c r="AE23" s="28" t="inlineStr"/>
      <c r="AF23" s="28" t="inlineStr"/>
      <c r="AG23" s="28" t="inlineStr"/>
      <c r="AH23" s="28" t="inlineStr"/>
      <c r="AI23" s="28" t="inlineStr"/>
      <c r="AJ23" s="28" t="inlineStr"/>
      <c r="AK23" s="28" t="inlineStr"/>
      <c r="AL23" s="28" t="inlineStr"/>
      <c r="AM23" s="28" t="inlineStr"/>
      <c r="AN23" s="28" t="inlineStr"/>
      <c r="AO23" s="28" t="inlineStr"/>
      <c r="AP23" s="28" t="inlineStr"/>
      <c r="AQ23" s="28" t="inlineStr"/>
      <c r="AR23" s="28" t="inlineStr"/>
      <c r="AS23" s="28" t="inlineStr"/>
      <c r="AT23" s="28" t="inlineStr"/>
      <c r="AU23" s="28" t="inlineStr"/>
      <c r="AV23" s="28" t="inlineStr"/>
      <c r="AW23" s="28" t="inlineStr"/>
      <c r="AX23" s="28" t="inlineStr"/>
      <c r="AY23" s="28" t="inlineStr"/>
      <c r="AZ23" s="28" t="inlineStr"/>
      <c r="BA23" s="28" t="inlineStr"/>
      <c r="BB23" s="28" t="inlineStr"/>
      <c r="BC23" s="28" t="inlineStr"/>
      <c r="BD23" s="28" t="inlineStr"/>
      <c r="BE23" s="28" t="inlineStr"/>
      <c r="BF23" s="28" t="inlineStr"/>
      <c r="BG23" s="28" t="inlineStr"/>
      <c r="BH23" s="28" t="inlineStr"/>
      <c r="BI23" s="28" t="inlineStr"/>
      <c r="BJ23" s="28" t="inlineStr"/>
      <c r="BK23" s="28" t="inlineStr"/>
      <c r="BL23" s="28" t="inlineStr"/>
      <c r="BM23" s="28" t="inlineStr"/>
      <c r="BN23" s="28" t="inlineStr"/>
      <c r="BO23" s="28" t="inlineStr"/>
      <c r="BP23" s="28" t="inlineStr"/>
      <c r="BQ23" s="28" t="inlineStr"/>
      <c r="BR23" s="28" t="inlineStr"/>
      <c r="BS23" s="28" t="inlineStr"/>
      <c r="BT23" s="28" t="inlineStr"/>
      <c r="BU23" s="28" t="inlineStr"/>
      <c r="BV23" s="28" t="inlineStr"/>
      <c r="BW23" s="28" t="inlineStr"/>
      <c r="BX23" s="28" t="inlineStr"/>
      <c r="BY23" s="28" t="inlineStr"/>
      <c r="BZ23" s="28" t="inlineStr"/>
      <c r="CA23" s="28" t="inlineStr"/>
      <c r="CB23" s="28" t="inlineStr"/>
      <c r="CC23" s="28" t="inlineStr"/>
      <c r="CD23" s="28" t="inlineStr"/>
      <c r="CE23" s="28" t="inlineStr"/>
      <c r="CF23" s="28" t="inlineStr"/>
      <c r="CG23" s="28" t="inlineStr"/>
      <c r="CH23" s="28" t="inlineStr"/>
      <c r="CI23" s="28" t="inlineStr"/>
      <c r="CJ23" s="28" t="inlineStr"/>
      <c r="CK23" s="28" t="inlineStr"/>
      <c r="CL23" s="28" t="inlineStr"/>
      <c r="CM23" s="28" t="inlineStr"/>
      <c r="CN23" s="28" t="inlineStr"/>
      <c r="CO23" s="28" t="inlineStr"/>
      <c r="CP23" s="28" t="inlineStr"/>
      <c r="CQ23" s="28" t="inlineStr"/>
      <c r="CR23" s="28" t="inlineStr"/>
      <c r="CS23" s="28" t="inlineStr"/>
      <c r="CT23" s="28" t="inlineStr"/>
      <c r="CU23" s="28" t="inlineStr"/>
      <c r="CV23" s="28" t="inlineStr"/>
      <c r="CW23" s="28" t="inlineStr"/>
      <c r="CX23" s="28" t="inlineStr"/>
      <c r="CY23" s="28" t="inlineStr"/>
      <c r="CZ23" s="28" t="inlineStr"/>
      <c r="DA23" s="32" t="inlineStr"/>
      <c r="DB23" s="32" t="inlineStr"/>
      <c r="DC23" s="32" t="inlineStr"/>
      <c r="DD23" s="32" t="inlineStr"/>
      <c r="DE23" s="28" t="inlineStr"/>
      <c r="DF23" s="28" t="inlineStr"/>
      <c r="DG23" s="28" t="inlineStr"/>
      <c r="DH23" s="28" t="inlineStr"/>
      <c r="DI23" s="28" t="inlineStr"/>
      <c r="DJ23" s="28" t="inlineStr"/>
      <c r="DK23" s="28" t="inlineStr"/>
      <c r="DL23" s="28" t="inlineStr"/>
      <c r="DM23" s="28" t="inlineStr"/>
    </row>
    <row r="24">
      <c r="A24" s="29" t="inlineStr">
        <is>
          <t>Documentation</t>
        </is>
      </c>
      <c r="B24" s="29" t="inlineStr">
        <is>
          <t>P4</t>
        </is>
      </c>
      <c r="C24" s="29" t="n">
        <v>104</v>
      </c>
      <c r="D24" s="29" t="n">
        <v>108</v>
      </c>
      <c r="E24" s="29" t="n">
        <v>5</v>
      </c>
      <c r="F24" s="30" t="inlineStr"/>
      <c r="G24" s="30" t="inlineStr"/>
      <c r="H24" s="30" t="inlineStr"/>
      <c r="I24" s="30" t="inlineStr"/>
      <c r="J24" s="30" t="inlineStr"/>
      <c r="K24" s="30" t="inlineStr"/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/>
      <c r="U24" s="30" t="inlineStr"/>
      <c r="V24" s="30" t="inlineStr"/>
      <c r="W24" s="30" t="inlineStr"/>
      <c r="X24" s="30" t="inlineStr"/>
      <c r="Y24" s="30" t="inlineStr"/>
      <c r="Z24" s="30" t="inlineStr"/>
      <c r="AA24" s="30" t="inlineStr"/>
      <c r="AB24" s="30" t="inlineStr"/>
      <c r="AC24" s="30" t="inlineStr"/>
      <c r="AD24" s="30" t="inlineStr"/>
      <c r="AE24" s="30" t="inlineStr"/>
      <c r="AF24" s="30" t="inlineStr"/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/>
      <c r="AU24" s="30" t="inlineStr"/>
      <c r="AV24" s="30" t="inlineStr"/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/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  <c r="CK24" s="30" t="inlineStr"/>
      <c r="CL24" s="30" t="inlineStr"/>
      <c r="CM24" s="30" t="inlineStr"/>
      <c r="CN24" s="30" t="inlineStr"/>
      <c r="CO24" s="30" t="inlineStr"/>
      <c r="CP24" s="30" t="inlineStr"/>
      <c r="CQ24" s="30" t="inlineStr"/>
      <c r="CR24" s="30" t="inlineStr"/>
      <c r="CS24" s="30" t="inlineStr"/>
      <c r="CT24" s="30" t="inlineStr"/>
      <c r="CU24" s="30" t="inlineStr"/>
      <c r="CV24" s="30" t="inlineStr"/>
      <c r="CW24" s="30" t="inlineStr"/>
      <c r="CX24" s="30" t="inlineStr"/>
      <c r="CY24" s="30" t="inlineStr"/>
      <c r="CZ24" s="30" t="inlineStr"/>
      <c r="DA24" s="30" t="inlineStr"/>
      <c r="DB24" s="30" t="inlineStr"/>
      <c r="DC24" s="30" t="inlineStr"/>
      <c r="DD24" s="30" t="inlineStr"/>
      <c r="DE24" s="32" t="inlineStr"/>
      <c r="DF24" s="32" t="inlineStr"/>
      <c r="DG24" s="32" t="inlineStr"/>
      <c r="DH24" s="32" t="inlineStr"/>
      <c r="DI24" s="32" t="inlineStr"/>
      <c r="DJ24" s="30" t="inlineStr"/>
      <c r="DK24" s="30" t="inlineStr"/>
      <c r="DL24" s="30" t="inlineStr"/>
      <c r="DM24" s="30" t="inlineStr"/>
    </row>
    <row r="25">
      <c r="A25" s="26" t="inlineStr">
        <is>
          <t>Final QA + Demo</t>
        </is>
      </c>
      <c r="B25" s="26" t="inlineStr">
        <is>
          <t>P4</t>
        </is>
      </c>
      <c r="C25" s="26" t="n">
        <v>109</v>
      </c>
      <c r="D25" s="26" t="n">
        <v>112</v>
      </c>
      <c r="E25" s="26" t="n">
        <v>4</v>
      </c>
      <c r="F25" s="28" t="inlineStr"/>
      <c r="G25" s="28" t="inlineStr"/>
      <c r="H25" s="28" t="inlineStr"/>
      <c r="I25" s="28" t="inlineStr"/>
      <c r="J25" s="28" t="inlineStr"/>
      <c r="K25" s="28" t="inlineStr"/>
      <c r="L25" s="28" t="inlineStr"/>
      <c r="M25" s="28" t="inlineStr"/>
      <c r="N25" s="28" t="inlineStr"/>
      <c r="O25" s="28" t="inlineStr"/>
      <c r="P25" s="28" t="inlineStr"/>
      <c r="Q25" s="28" t="inlineStr"/>
      <c r="R25" s="28" t="inlineStr"/>
      <c r="S25" s="28" t="inlineStr"/>
      <c r="T25" s="28" t="inlineStr"/>
      <c r="U25" s="28" t="inlineStr"/>
      <c r="V25" s="28" t="inlineStr"/>
      <c r="W25" s="28" t="inlineStr"/>
      <c r="X25" s="28" t="inlineStr"/>
      <c r="Y25" s="28" t="inlineStr"/>
      <c r="Z25" s="28" t="inlineStr"/>
      <c r="AA25" s="28" t="inlineStr"/>
      <c r="AB25" s="28" t="inlineStr"/>
      <c r="AC25" s="28" t="inlineStr"/>
      <c r="AD25" s="28" t="inlineStr"/>
      <c r="AE25" s="28" t="inlineStr"/>
      <c r="AF25" s="28" t="inlineStr"/>
      <c r="AG25" s="28" t="inlineStr"/>
      <c r="AH25" s="28" t="inlineStr"/>
      <c r="AI25" s="28" t="inlineStr"/>
      <c r="AJ25" s="28" t="inlineStr"/>
      <c r="AK25" s="28" t="inlineStr"/>
      <c r="AL25" s="28" t="inlineStr"/>
      <c r="AM25" s="28" t="inlineStr"/>
      <c r="AN25" s="28" t="inlineStr"/>
      <c r="AO25" s="28" t="inlineStr"/>
      <c r="AP25" s="28" t="inlineStr"/>
      <c r="AQ25" s="28" t="inlineStr"/>
      <c r="AR25" s="28" t="inlineStr"/>
      <c r="AS25" s="28" t="inlineStr"/>
      <c r="AT25" s="28" t="inlineStr"/>
      <c r="AU25" s="28" t="inlineStr"/>
      <c r="AV25" s="28" t="inlineStr"/>
      <c r="AW25" s="28" t="inlineStr"/>
      <c r="AX25" s="28" t="inlineStr"/>
      <c r="AY25" s="28" t="inlineStr"/>
      <c r="AZ25" s="28" t="inlineStr"/>
      <c r="BA25" s="28" t="inlineStr"/>
      <c r="BB25" s="28" t="inlineStr"/>
      <c r="BC25" s="28" t="inlineStr"/>
      <c r="BD25" s="28" t="inlineStr"/>
      <c r="BE25" s="28" t="inlineStr"/>
      <c r="BF25" s="28" t="inlineStr"/>
      <c r="BG25" s="28" t="inlineStr"/>
      <c r="BH25" s="28" t="inlineStr"/>
      <c r="BI25" s="28" t="inlineStr"/>
      <c r="BJ25" s="28" t="inlineStr"/>
      <c r="BK25" s="28" t="inlineStr"/>
      <c r="BL25" s="28" t="inlineStr"/>
      <c r="BM25" s="28" t="inlineStr"/>
      <c r="BN25" s="28" t="inlineStr"/>
      <c r="BO25" s="28" t="inlineStr"/>
      <c r="BP25" s="28" t="inlineStr"/>
      <c r="BQ25" s="28" t="inlineStr"/>
      <c r="BR25" s="28" t="inlineStr"/>
      <c r="BS25" s="28" t="inlineStr"/>
      <c r="BT25" s="28" t="inlineStr"/>
      <c r="BU25" s="28" t="inlineStr"/>
      <c r="BV25" s="28" t="inlineStr"/>
      <c r="BW25" s="28" t="inlineStr"/>
      <c r="BX25" s="28" t="inlineStr"/>
      <c r="BY25" s="28" t="inlineStr"/>
      <c r="BZ25" s="28" t="inlineStr"/>
      <c r="CA25" s="28" t="inlineStr"/>
      <c r="CB25" s="28" t="inlineStr"/>
      <c r="CC25" s="28" t="inlineStr"/>
      <c r="CD25" s="28" t="inlineStr"/>
      <c r="CE25" s="28" t="inlineStr"/>
      <c r="CF25" s="28" t="inlineStr"/>
      <c r="CG25" s="28" t="inlineStr"/>
      <c r="CH25" s="28" t="inlineStr"/>
      <c r="CI25" s="28" t="inlineStr"/>
      <c r="CJ25" s="28" t="inlineStr"/>
      <c r="CK25" s="28" t="inlineStr"/>
      <c r="CL25" s="28" t="inlineStr"/>
      <c r="CM25" s="28" t="inlineStr"/>
      <c r="CN25" s="28" t="inlineStr"/>
      <c r="CO25" s="28" t="inlineStr"/>
      <c r="CP25" s="28" t="inlineStr"/>
      <c r="CQ25" s="28" t="inlineStr"/>
      <c r="CR25" s="28" t="inlineStr"/>
      <c r="CS25" s="28" t="inlineStr"/>
      <c r="CT25" s="28" t="inlineStr"/>
      <c r="CU25" s="28" t="inlineStr"/>
      <c r="CV25" s="28" t="inlineStr"/>
      <c r="CW25" s="28" t="inlineStr"/>
      <c r="CX25" s="28" t="inlineStr"/>
      <c r="CY25" s="28" t="inlineStr"/>
      <c r="CZ25" s="28" t="inlineStr"/>
      <c r="DA25" s="28" t="inlineStr"/>
      <c r="DB25" s="28" t="inlineStr"/>
      <c r="DC25" s="28" t="inlineStr"/>
      <c r="DD25" s="28" t="inlineStr"/>
      <c r="DE25" s="28" t="inlineStr"/>
      <c r="DF25" s="28" t="inlineStr"/>
      <c r="DG25" s="28" t="inlineStr"/>
      <c r="DH25" s="28" t="inlineStr"/>
      <c r="DI25" s="28" t="inlineStr"/>
      <c r="DJ25" s="32" t="inlineStr"/>
      <c r="DK25" s="32" t="inlineStr"/>
      <c r="DL25" s="32" t="inlineStr"/>
      <c r="DM25" s="32" t="inlineStr"/>
    </row>
    <row r="28">
      <c r="A28" s="3" t="inlineStr">
        <is>
          <t>Legend</t>
        </is>
      </c>
    </row>
    <row r="29">
      <c r="A29" s="33" t="inlineStr">
        <is>
          <t>Phase 2</t>
        </is>
      </c>
    </row>
    <row r="30">
      <c r="A30" s="34" t="inlineStr">
        <is>
          <t>Phase 3</t>
        </is>
      </c>
    </row>
    <row r="31">
      <c r="A31" s="35" t="inlineStr">
        <is>
          <t>Phase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0" customWidth="1" min="4" max="4"/>
    <col width="50" customWidth="1" min="5" max="5"/>
    <col width="14" customWidth="1" min="6" max="6"/>
    <col width="14" customWidth="1" min="7" max="7"/>
  </cols>
  <sheetData>
    <row r="1" ht="24" customHeight="1">
      <c r="A1" s="13" t="inlineStr">
        <is>
          <t>Risk Register</t>
        </is>
      </c>
    </row>
    <row r="2">
      <c r="A2" s="14" t="inlineStr">
        <is>
          <t>Charter risks + code-level risks discovered during walkthrough. Update Status weekly.</t>
        </is>
      </c>
    </row>
    <row r="4" ht="30" customHeight="1">
      <c r="A4" s="11" t="inlineStr">
        <is>
          <t>#</t>
        </is>
      </c>
      <c r="B4" s="11" t="inlineStr">
        <is>
          <t>Risk</t>
        </is>
      </c>
      <c r="C4" s="11" t="inlineStr">
        <is>
          <t>Likelihood</t>
        </is>
      </c>
      <c r="D4" s="11" t="inlineStr">
        <is>
          <t>Impact</t>
        </is>
      </c>
      <c r="E4" s="11" t="inlineStr">
        <is>
          <t>Mitigation</t>
        </is>
      </c>
      <c r="F4" s="11" t="inlineStr">
        <is>
          <t>Owner</t>
        </is>
      </c>
      <c r="G4" s="11" t="inlineStr">
        <is>
          <t>Status</t>
        </is>
      </c>
    </row>
    <row r="5">
      <c r="A5" s="15" t="n">
        <v>1</v>
      </c>
      <c r="B5" s="15" t="inlineStr">
        <is>
          <t>External API access not obtainable for some destinations</t>
        </is>
      </c>
      <c r="C5" s="15" t="inlineStr">
        <is>
          <t>Medium</t>
        </is>
      </c>
      <c r="D5" s="15" t="inlineStr">
        <is>
          <t>High</t>
        </is>
      </c>
      <c r="E5" s="15" t="inlineStr">
        <is>
          <t>Three-tier fallback: browser passthrough → Apify cloud → Playwright self-hosted. Scraping connectors flagged with bot icon and monitored.</t>
        </is>
      </c>
      <c r="F5" s="15" t="inlineStr">
        <is>
          <t>Designer</t>
        </is>
      </c>
      <c r="G5" s="15" t="inlineStr">
        <is>
          <t>Not Started</t>
        </is>
      </c>
    </row>
    <row r="6">
      <c r="A6" s="16" t="n">
        <v>2</v>
      </c>
      <c r="B6" s="16" t="inlineStr">
        <is>
          <t>Web scraping connectors break on UI changes</t>
        </is>
      </c>
      <c r="C6" s="16" t="inlineStr">
        <is>
          <t>High</t>
        </is>
      </c>
      <c r="D6" s="16" t="inlineStr">
        <is>
          <t>Medium</t>
        </is>
      </c>
      <c r="E6" s="16" t="inlineStr">
        <is>
          <t>Screenshot-diff alerting on scrape failures; designer notified immediately with diff image.</t>
        </is>
      </c>
      <c r="F6" s="16" t="inlineStr">
        <is>
          <t>Designer</t>
        </is>
      </c>
      <c r="G6" s="16" t="inlineStr">
        <is>
          <t>Not Started</t>
        </is>
      </c>
    </row>
    <row r="7">
      <c r="A7" s="15" t="n">
        <v>3</v>
      </c>
      <c r="B7" s="15" t="inlineStr">
        <is>
          <t>Scope creep expands beyond planned phases</t>
        </is>
      </c>
      <c r="C7" s="15" t="inlineStr">
        <is>
          <t>High</t>
        </is>
      </c>
      <c r="D7" s="15" t="inlineStr">
        <is>
          <t>High</t>
        </is>
      </c>
      <c r="E7" s="15" t="inlineStr">
        <is>
          <t>Lock scope per phase; change-request process; MVP-first discipline; milestones reviewed weekly.</t>
        </is>
      </c>
      <c r="F7" s="15" t="inlineStr">
        <is>
          <t>Product Owner</t>
        </is>
      </c>
      <c r="G7" s="15" t="inlineStr">
        <is>
          <t>Not Started</t>
        </is>
      </c>
    </row>
    <row r="8">
      <c r="A8" s="16" t="n">
        <v>4</v>
      </c>
      <c r="B8" s="16" t="inlineStr">
        <is>
          <t>AI Auto-Map produces poor suggestions</t>
        </is>
      </c>
      <c r="C8" s="16" t="inlineStr">
        <is>
          <t>Medium</t>
        </is>
      </c>
      <c r="D8" s="16" t="inlineStr">
        <is>
          <t>Medium</t>
        </is>
      </c>
      <c r="E8" s="16" t="inlineStr">
        <is>
          <t>Always require human confirmation; log decisions for tuning; graceful fallback to manual mapping. Target ≥70% accuracy.</t>
        </is>
      </c>
      <c r="F8" s="16" t="inlineStr">
        <is>
          <t>Designer</t>
        </is>
      </c>
      <c r="G8" s="16" t="inlineStr">
        <is>
          <t>Not Started</t>
        </is>
      </c>
    </row>
    <row r="9">
      <c r="A9" s="15" t="n">
        <v>5</v>
      </c>
      <c r="B9" s="15" t="inlineStr">
        <is>
          <t>Non-technical users find mapping too complex</t>
        </is>
      </c>
      <c r="C9" s="15" t="inlineStr">
        <is>
          <t>Medium</t>
        </is>
      </c>
      <c r="D9" s="15" t="inlineStr">
        <is>
          <t>High</t>
        </is>
      </c>
      <c r="E9" s="15" t="inlineStr">
        <is>
          <t>Extensive UX testing; progressive disclosure; task escalation to Designer; first-time walkthroughs.</t>
        </is>
      </c>
      <c r="F9" s="15" t="inlineStr">
        <is>
          <t>PM</t>
        </is>
      </c>
      <c r="G9" s="15" t="inlineStr">
        <is>
          <t>Not Started</t>
        </is>
      </c>
    </row>
    <row r="10">
      <c r="A10" s="16" t="n">
        <v>6</v>
      </c>
      <c r="B10" s="16" t="inlineStr">
        <is>
          <t>Credential vault security vulnerability</t>
        </is>
      </c>
      <c r="C10" s="16" t="inlineStr">
        <is>
          <t>Low</t>
        </is>
      </c>
      <c r="D10" s="16" t="inlineStr">
        <is>
          <t>Critical</t>
        </is>
      </c>
      <c r="E10" s="16" t="inlineStr">
        <is>
          <t>AES-256-GCM; security review before any external exposure; no raw credential display anywhere; reveal events audited.</t>
        </is>
      </c>
      <c r="F10" s="16" t="inlineStr">
        <is>
          <t>Admin</t>
        </is>
      </c>
      <c r="G10" s="16" t="inlineStr">
        <is>
          <t>Not Started</t>
        </is>
      </c>
    </row>
    <row r="11">
      <c r="A11" s="15" t="n">
        <v>7</v>
      </c>
      <c r="B11" s="15" t="inlineStr">
        <is>
          <t>10 of 11 frontend pages on mock data — silent regressions when wired</t>
        </is>
      </c>
      <c r="C11" s="15" t="inlineStr">
        <is>
          <t>High</t>
        </is>
      </c>
      <c r="D11" s="15" t="inlineStr">
        <is>
          <t>Medium</t>
        </is>
      </c>
      <c r="E11" s="15" t="inlineStr">
        <is>
          <t>End-to-end Playwright test added at the time of wiring each page (test-first).</t>
        </is>
      </c>
      <c r="F11" s="15" t="inlineStr">
        <is>
          <t>Developer</t>
        </is>
      </c>
      <c r="G11" s="15" t="inlineStr">
        <is>
          <t>Not Started</t>
        </is>
      </c>
    </row>
    <row r="12">
      <c r="A12" s="16" t="n">
        <v>8</v>
      </c>
      <c r="B12" s="16" t="inlineStr">
        <is>
          <t>No auth enforcement today — accidental public exposure if deployed</t>
        </is>
      </c>
      <c r="C12" s="16" t="inlineStr">
        <is>
          <t>Medium</t>
        </is>
      </c>
      <c r="D12" s="16" t="inlineStr">
        <is>
          <t>Critical</t>
        </is>
      </c>
      <c r="E12" s="16" t="inlineStr">
        <is>
          <t>Lock to localhost / VPN until F-01/F-02/F-03 ship; no production deploy until RBAC live.</t>
        </is>
      </c>
      <c r="F12" s="16" t="inlineStr">
        <is>
          <t>Admin</t>
        </is>
      </c>
      <c r="G12" s="16" t="inlineStr">
        <is>
          <t>Not Started</t>
        </is>
      </c>
    </row>
    <row r="13">
      <c r="A13" s="15" t="n">
        <v>9</v>
      </c>
      <c r="B13" s="15" t="inlineStr">
        <is>
          <t>Single-developer bus factor + vibe-coding velocity dependence</t>
        </is>
      </c>
      <c r="C13" s="15" t="inlineStr">
        <is>
          <t>Medium</t>
        </is>
      </c>
      <c r="D13" s="15" t="inlineStr">
        <is>
          <t>High</t>
        </is>
      </c>
      <c r="E13" s="15" t="inlineStr">
        <is>
          <t>Strong PRODUCT_STATUS.md + BRD + day-level plan keep the project transferable; CLAUDE.md captures session conventions.</t>
        </is>
      </c>
      <c r="F13" s="15" t="inlineStr">
        <is>
          <t>PM</t>
        </is>
      </c>
      <c r="G13" s="15" t="inlineStr">
        <is>
          <t>Not Started</t>
        </is>
      </c>
    </row>
    <row r="14">
      <c r="A14" s="16" t="n">
        <v>10</v>
      </c>
      <c r="B14" s="16" t="inlineStr">
        <is>
          <t>AI mapping cost overruns (Anthropic API)</t>
        </is>
      </c>
      <c r="C14" s="16" t="inlineStr">
        <is>
          <t>Medium</t>
        </is>
      </c>
      <c r="D14" s="16" t="inlineStr">
        <is>
          <t>Medium</t>
        </is>
      </c>
      <c r="E14" s="16" t="inlineStr">
        <is>
          <t>Daily cost cap per environment; cache layer; configurable rate limit; monitor in dashboard.</t>
        </is>
      </c>
      <c r="F14" s="16" t="inlineStr">
        <is>
          <t>Developer</t>
        </is>
      </c>
      <c r="G14" s="16" t="inlineStr">
        <is>
          <t>Not Started</t>
        </is>
      </c>
    </row>
    <row r="15">
      <c r="A15" s="15" t="n">
        <v>11</v>
      </c>
      <c r="B15" s="15" t="inlineStr">
        <is>
          <t>JS sandbox escape risk in transformations</t>
        </is>
      </c>
      <c r="C15" s="15" t="inlineStr">
        <is>
          <t>Low</t>
        </is>
      </c>
      <c r="D15" s="15" t="inlineStr">
        <is>
          <t>Critical</t>
        </is>
      </c>
      <c r="E15" s="15" t="inlineStr">
        <is>
          <t>QuickJS in worker thread; strict CPU/memory limits; no host fs/network access from sandbox; security review.</t>
        </is>
      </c>
      <c r="F15" s="15" t="inlineStr">
        <is>
          <t>Developer</t>
        </is>
      </c>
      <c r="G15" s="15" t="inlineStr">
        <is>
          <t>Not Started</t>
        </is>
      </c>
    </row>
    <row r="16">
      <c r="A16" s="16" t="n">
        <v>12</v>
      </c>
      <c r="B16" s="16" t="inlineStr">
        <is>
          <t>Long-running queue jobs starve other work</t>
        </is>
      </c>
      <c r="C16" s="16" t="inlineStr">
        <is>
          <t>Medium</t>
        </is>
      </c>
      <c r="D16" s="16" t="inlineStr">
        <is>
          <t>Medium</t>
        </is>
      </c>
      <c r="E16" s="16" t="inlineStr">
        <is>
          <t>Per-queue concurrency limits; separate queue for scraping; BullMQ priority levels for critical alerts.</t>
        </is>
      </c>
      <c r="F16" s="16" t="inlineStr">
        <is>
          <t>Developer</t>
        </is>
      </c>
      <c r="G16" s="16" t="inlineStr">
        <is>
          <t>Not Started</t>
        </is>
      </c>
    </row>
    <row r="17">
      <c r="A17" s="15" t="n">
        <v>13</v>
      </c>
      <c r="B17" s="15" t="inlineStr">
        <is>
          <t>Schema migration breaks running adapters</t>
        </is>
      </c>
      <c r="C17" s="15" t="inlineStr">
        <is>
          <t>Medium</t>
        </is>
      </c>
      <c r="D17" s="15" t="inlineStr">
        <is>
          <t>High</t>
        </is>
      </c>
      <c r="E17" s="15" t="inlineStr">
        <is>
          <t>Drizzle migrations versioned; pre-deploy dry-run on shadow DB; rollback plan documented per migration.</t>
        </is>
      </c>
      <c r="F17" s="15" t="inlineStr">
        <is>
          <t>Developer</t>
        </is>
      </c>
      <c r="G17" s="15" t="inlineStr">
        <is>
          <t>Not Started</t>
        </is>
      </c>
    </row>
    <row r="18">
      <c r="A18" s="16" t="n">
        <v>14</v>
      </c>
      <c r="B18" s="16" t="inlineStr">
        <is>
          <t>Email transport delivery issues (alerts ignored)</t>
        </is>
      </c>
      <c r="C18" s="16" t="inlineStr">
        <is>
          <t>Low</t>
        </is>
      </c>
      <c r="D18" s="16" t="inlineStr">
        <is>
          <t>High</t>
        </is>
      </c>
      <c r="E18" s="16" t="inlineStr">
        <is>
          <t>Health probe sends test email weekly; SMTP fallback to alternate provider; in-app bell as backup channel.</t>
        </is>
      </c>
      <c r="F18" s="16" t="inlineStr">
        <is>
          <t>Admin</t>
        </is>
      </c>
      <c r="G18" s="16" t="inlineStr">
        <is>
          <t>Not Started</t>
        </is>
      </c>
    </row>
    <row r="19">
      <c r="A19" s="15" t="n">
        <v>15</v>
      </c>
      <c r="B19" s="15" t="inlineStr">
        <is>
          <t>Tech-stack lock-in to React 19 / Express 5 / Drizzle</t>
        </is>
      </c>
      <c r="C19" s="15" t="inlineStr">
        <is>
          <t>Low</t>
        </is>
      </c>
      <c r="D19" s="15" t="inlineStr">
        <is>
          <t>Low</t>
        </is>
      </c>
      <c r="E19" s="15" t="inlineStr">
        <is>
          <t>Documented in BRD §11.2. Acceptable trade-off for velocity; modular service layer minimises lock-in cost.</t>
        </is>
      </c>
      <c r="F19" s="15" t="inlineStr">
        <is>
          <t>Architect</t>
        </is>
      </c>
      <c r="G19" s="15" t="inlineStr">
        <is>
          <t>Not Started</t>
        </is>
      </c>
    </row>
  </sheetData>
  <conditionalFormatting sqref="G5:G19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C5:C19">
    <cfRule type="cellIs" priority="5" operator="equal" dxfId="4">
      <formula>"High"</formula>
    </cfRule>
    <cfRule type="cellIs" priority="6" operator="equal" dxfId="5">
      <formula>"Medium"</formula>
    </cfRule>
    <cfRule type="cellIs" priority="7" operator="equal" dxfId="6">
      <formula>"Low"</formula>
    </cfRule>
    <cfRule type="cellIs" priority="8" operator="equal" dxfId="7">
      <formula>"Critical"</formula>
    </cfRule>
  </conditionalFormatting>
  <conditionalFormatting sqref="D5:D19">
    <cfRule type="cellIs" priority="9" operator="equal" dxfId="4">
      <formula>"High"</formula>
    </cfRule>
    <cfRule type="cellIs" priority="10" operator="equal" dxfId="5">
      <formula>"Medium"</formula>
    </cfRule>
    <cfRule type="cellIs" priority="11" operator="equal" dxfId="6">
      <formula>"Low"</formula>
    </cfRule>
    <cfRule type="cellIs" priority="12" operator="equal" dxfId="7">
      <formula>"Critical"</formula>
    </cfRule>
  </conditionalFormatting>
  <dataValidations count="1">
    <dataValidation sqref="G5:G19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32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3" t="inlineStr">
        <is>
          <t>Open Decisions</t>
        </is>
      </c>
    </row>
    <row r="2">
      <c r="A2" s="14" t="inlineStr">
        <is>
          <t>Charter open decisions + new code-level decisions discovered during BRD walkthrough.</t>
        </is>
      </c>
    </row>
    <row r="4" ht="30" customHeight="1">
      <c r="A4" s="11" t="inlineStr">
        <is>
          <t>#</t>
        </is>
      </c>
      <c r="B4" s="11" t="inlineStr">
        <is>
          <t>Decision</t>
        </is>
      </c>
      <c r="C4" s="11" t="inlineStr">
        <is>
          <t>Options</t>
        </is>
      </c>
      <c r="D4" s="11" t="inlineStr">
        <is>
          <t>Recommendation</t>
        </is>
      </c>
      <c r="E4" s="11" t="inlineStr">
        <is>
          <t>Decide By (Day)</t>
        </is>
      </c>
      <c r="F4" s="11" t="inlineStr">
        <is>
          <t>Decide By (Date)</t>
        </is>
      </c>
      <c r="G4" s="11" t="inlineStr">
        <is>
          <t>Status</t>
        </is>
      </c>
    </row>
    <row r="5">
      <c r="A5" s="15" t="n">
        <v>1</v>
      </c>
      <c r="B5" s="15" t="inlineStr">
        <is>
          <t>AI provider for mapping</t>
        </is>
      </c>
      <c r="C5" s="15" t="inlineStr">
        <is>
          <t>OpenAI / Claude API / Local model</t>
        </is>
      </c>
      <c r="D5" s="15" t="inlineStr">
        <is>
          <t>Claude API — already used; cost-effective at this volume.</t>
        </is>
      </c>
      <c r="E5" s="15" t="n">
        <v>1</v>
      </c>
      <c r="F5" s="23" t="n">
        <v>46147</v>
      </c>
      <c r="G5" s="15" t="inlineStr">
        <is>
          <t>Not Started</t>
        </is>
      </c>
    </row>
    <row r="6">
      <c r="A6" s="16" t="n">
        <v>2</v>
      </c>
      <c r="B6" s="16" t="inlineStr">
        <is>
          <t>Charting library</t>
        </is>
      </c>
      <c r="C6" s="16" t="inlineStr">
        <is>
          <t>Recharts / Chart.js / D3</t>
        </is>
      </c>
      <c r="D6" s="16" t="inlineStr">
        <is>
          <t>Recharts — declarative, works cleanly with React 19.</t>
        </is>
      </c>
      <c r="E6" s="16" t="n">
        <v>1</v>
      </c>
      <c r="F6" s="24" t="n">
        <v>46147</v>
      </c>
      <c r="G6" s="16" t="inlineStr">
        <is>
          <t>Not Started</t>
        </is>
      </c>
    </row>
    <row r="7">
      <c r="A7" s="15" t="n">
        <v>3</v>
      </c>
      <c r="B7" s="15" t="inlineStr">
        <is>
          <t>Web scraping provider</t>
        </is>
      </c>
      <c r="C7" s="15" t="inlineStr">
        <is>
          <t>Apify (cloud) / Playwright (self) / Both</t>
        </is>
      </c>
      <c r="D7" s="15" t="inlineStr">
        <is>
          <t>Both — Apify for quick setups, Playwright for complex flows.</t>
        </is>
      </c>
      <c r="E7" s="15" t="n">
        <v>7</v>
      </c>
      <c r="F7" s="23" t="n">
        <v>46153</v>
      </c>
      <c r="G7" s="15" t="inlineStr">
        <is>
          <t>Not Started</t>
        </is>
      </c>
    </row>
    <row r="8">
      <c r="A8" s="16" t="n">
        <v>4</v>
      </c>
      <c r="B8" s="16" t="inlineStr">
        <is>
          <t>Auth strategy</t>
        </is>
      </c>
      <c r="C8" s="16" t="inlineStr">
        <is>
          <t>Local (JWT) / SSO (Azure AD) / Both</t>
        </is>
      </c>
      <c r="D8" s="16" t="inlineStr">
        <is>
          <t>Local JWT first; pluggable adapter for SSO in Phase 3.</t>
        </is>
      </c>
      <c r="E8" s="16" t="n">
        <v>1</v>
      </c>
      <c r="F8" s="24" t="n">
        <v>46147</v>
      </c>
      <c r="G8" s="16" t="inlineStr">
        <is>
          <t>Not Started</t>
        </is>
      </c>
    </row>
    <row r="9">
      <c r="A9" s="15" t="n">
        <v>5</v>
      </c>
      <c r="B9" s="15" t="inlineStr">
        <is>
          <t>Help content authoring</t>
        </is>
      </c>
      <c r="C9" s="15" t="inlineStr">
        <is>
          <t>Markdown in repo / CMS / Wiki</t>
        </is>
      </c>
      <c r="D9" s="15" t="inlineStr">
        <is>
          <t>Markdown in repo; index built at build time (lunr.js).</t>
        </is>
      </c>
      <c r="E9" s="15" t="n">
        <v>28</v>
      </c>
      <c r="F9" s="23" t="n">
        <v>46174</v>
      </c>
      <c r="G9" s="15" t="inlineStr">
        <is>
          <t>Not Started</t>
        </is>
      </c>
    </row>
    <row r="10">
      <c r="A10" s="16" t="n">
        <v>6</v>
      </c>
      <c r="B10" s="16" t="inlineStr">
        <is>
          <t>Email transport</t>
        </is>
      </c>
      <c r="C10" s="16" t="inlineStr">
        <is>
          <t>SMTP / SES / SendGrid</t>
        </is>
      </c>
      <c r="D10" s="16" t="inlineStr">
        <is>
          <t>Start SMTP via env; swap for SES in Phase 4 if volume warrants.</t>
        </is>
      </c>
      <c r="E10" s="16" t="n">
        <v>38</v>
      </c>
      <c r="F10" s="24" t="n">
        <v>46184</v>
      </c>
      <c r="G10" s="16" t="inlineStr">
        <is>
          <t>Not Started</t>
        </is>
      </c>
    </row>
    <row r="11">
      <c r="A11" s="15" t="n">
        <v>7</v>
      </c>
      <c r="B11" s="15" t="inlineStr">
        <is>
          <t>JS sandbox for transformations</t>
        </is>
      </c>
      <c r="C11" s="15" t="inlineStr">
        <is>
          <t>vm2 / QuickJS / WASM</t>
        </is>
      </c>
      <c r="D11" s="15" t="inlineStr">
        <is>
          <t>QuickJS — modern, sandboxed, low overhead, in worker thread.</t>
        </is>
      </c>
      <c r="E11" s="15" t="n">
        <v>25</v>
      </c>
      <c r="F11" s="23" t="n">
        <v>46171</v>
      </c>
      <c r="G11" s="15" t="inlineStr">
        <is>
          <t>Not Started</t>
        </is>
      </c>
    </row>
    <row r="12">
      <c r="A12" s="16" t="n">
        <v>8</v>
      </c>
      <c r="B12" s="16" t="inlineStr">
        <is>
          <t>Hosting model</t>
        </is>
      </c>
      <c r="C12" s="16" t="inlineStr">
        <is>
          <t>Local server / Docker / Cloud (Azure/AWS)</t>
        </is>
      </c>
      <c r="D12" s="16" t="inlineStr">
        <is>
          <t>Start local + Docker for portability; cloud as Phase 4 outcome.</t>
        </is>
      </c>
      <c r="E12" s="16" t="n">
        <v>96</v>
      </c>
      <c r="F12" s="24" t="n">
        <v>46242</v>
      </c>
      <c r="G12" s="16" t="inlineStr">
        <is>
          <t>Not Started</t>
        </is>
      </c>
    </row>
    <row r="13">
      <c r="A13" s="15" t="n">
        <v>9</v>
      </c>
      <c r="B13" s="15" t="inlineStr">
        <is>
          <t>First non-Jira / non-SharePoint connector pair to demo</t>
        </is>
      </c>
      <c r="C13" s="15" t="inlineStr">
        <is>
          <t>PostgreSQL → TFS / Excel → Holiday Tracker / Dynamics → SharePoint</t>
        </is>
      </c>
      <c r="D13" s="15" t="inlineStr">
        <is>
          <t>PostgreSQL → TFS — both new, exercises Studio + new dest path.</t>
        </is>
      </c>
      <c r="E13" s="15" t="n">
        <v>11</v>
      </c>
      <c r="F13" s="23" t="n">
        <v>46157</v>
      </c>
      <c r="G13" s="15" t="inlineStr">
        <is>
          <t>Not Started</t>
        </is>
      </c>
    </row>
    <row r="14">
      <c r="A14" s="16" t="n">
        <v>10</v>
      </c>
      <c r="B14" s="16" t="inlineStr">
        <is>
          <t>Multi-tenancy go-live</t>
        </is>
      </c>
      <c r="C14" s="16" t="inlineStr">
        <is>
          <t>Phase 2 (with auth) / Phase 3 (with client apps)</t>
        </is>
      </c>
      <c r="D14" s="16" t="inlineStr">
        <is>
          <t>Phase 3 — keep Phase 2 single-tenant to ship fast; org isolation lands with client apps.</t>
        </is>
      </c>
      <c r="E14" s="16" t="n">
        <v>66</v>
      </c>
      <c r="F14" s="24" t="n">
        <v>46212</v>
      </c>
      <c r="G14" s="16" t="inlineStr">
        <is>
          <t>Not Started</t>
        </is>
      </c>
    </row>
    <row r="15">
      <c r="A15" s="15" t="n">
        <v>11</v>
      </c>
      <c r="B15" s="15" t="inlineStr">
        <is>
          <t>AI Help Assistant scope</t>
        </is>
      </c>
      <c r="C15" s="15" t="inlineStr">
        <is>
          <t>Library-only / + Screen state / + Action history</t>
        </is>
      </c>
      <c r="D15" s="15" t="inlineStr">
        <is>
          <t>Full context (library + state + history) at Phase 3 launch.</t>
        </is>
      </c>
      <c r="E15" s="15" t="n">
        <v>86</v>
      </c>
      <c r="F15" s="23" t="n">
        <v>46232</v>
      </c>
      <c r="G15" s="15" t="inlineStr">
        <is>
          <t>Not Started</t>
        </is>
      </c>
    </row>
    <row r="16">
      <c r="A16" s="16" t="n">
        <v>12</v>
      </c>
      <c r="B16" s="16" t="inlineStr">
        <is>
          <t>Mobile PWA depth</t>
        </is>
      </c>
      <c r="C16" s="16" t="inlineStr">
        <is>
          <t>Read-only / Read+limited write / Full parity</t>
        </is>
      </c>
      <c r="D16" s="16" t="inlineStr">
        <is>
          <t>Read-only at launch; expand based on actual mobile usage.</t>
        </is>
      </c>
      <c r="E16" s="16" t="n">
        <v>96</v>
      </c>
      <c r="F16" s="24" t="n">
        <v>46242</v>
      </c>
      <c r="G16" s="16" t="inlineStr">
        <is>
          <t>Not Started</t>
        </is>
      </c>
    </row>
  </sheetData>
  <conditionalFormatting sqref="G5:G16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G5:G16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2026-05-04T09:55:55Z</dcterms:created>
  <dcterms:modified xmlns:dcterms="http://purl.org/dc/terms/" xmlns:xsi="http://www.w3.org/2001/XMLSchema-instance" xsi:type="dcterms:W3CDTF">2026-05-04T09:55:56Z</dcterms:modified>
</cp:coreProperties>
</file>