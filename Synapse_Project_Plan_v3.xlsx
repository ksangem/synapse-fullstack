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lan" sheetId="2" state="visible" r:id="rId2"/>
    <sheet name="Milestones" sheetId="3" state="visible" r:id="rId3"/>
    <sheet name="Sprint Plan" sheetId="4" state="visible" r:id="rId4"/>
    <sheet name="Risks &amp; Deci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1B2A5B"/>
      <sz val="20"/>
    </font>
    <font>
      <name val="Calibri"/>
      <b val="1"/>
      <color rgb="00455A64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color rgb="00455A64"/>
      <sz val="9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8ECF5"/>
      </patternFill>
    </fill>
    <fill>
      <patternFill patternType="solid">
        <fgColor rgb="0078909C"/>
      </patternFill>
    </fill>
    <fill>
      <patternFill patternType="solid">
        <fgColor rgb="001565C0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1B2A5B"/>
      </patternFill>
    </fill>
    <fill>
      <patternFill patternType="solid">
        <fgColor rgb="00D7DCE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9" fontId="4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3" fillId="8" borderId="1" pivotButton="0" quotePrefix="0" xfId="0"/>
    <xf numFmtId="3" fontId="3" fillId="8" borderId="1" pivotButton="0" quotePrefix="0" xfId="0"/>
    <xf numFmtId="0" fontId="7" fillId="7" borderId="1" pivotButton="0" quotePrefix="0" xfId="0"/>
    <xf numFmtId="3" fontId="7" fillId="7" borderId="1" pivotButton="0" quotePrefix="0" xfId="0"/>
    <xf numFmtId="0" fontId="3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b val="1"/>
        <color rgb="00FFFFFF"/>
        <sz val="10"/>
      </font>
      <fill>
        <patternFill patternType="solid">
          <fgColor rgb="0078909C"/>
        </patternFill>
      </fill>
    </dxf>
    <dxf>
      <font>
        <b val="1"/>
        <color rgb="00FFFFFF"/>
        <sz val="10"/>
      </font>
      <fill>
        <patternFill patternType="solid">
          <fgColor rgb="001565C0"/>
        </patternFill>
      </fill>
    </dxf>
    <dxf>
      <font>
        <b val="1"/>
        <color rgb="00FFFFFF"/>
        <sz val="10"/>
      </font>
      <fill>
        <patternFill patternType="solid">
          <fgColor rgb="00C62828"/>
        </patternFill>
      </fill>
    </dxf>
    <dxf>
      <font>
        <b val="1"/>
        <color rgb="00FFFFFF"/>
        <sz val="10"/>
      </font>
      <fill>
        <patternFill patternType="solid">
          <fgColor rgb="002E7D32"/>
        </patternFill>
      </fill>
    </dxf>
    <dxf>
      <font>
        <b val="1"/>
        <color rgb="00FFFFFF"/>
        <sz val="10"/>
      </font>
      <fill>
        <patternFill patternType="solid">
          <fgColor rgb="00F9A82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2" customWidth="1" min="3" max="3"/>
  </cols>
  <sheetData>
    <row r="2">
      <c r="B2" s="1" t="inlineStr">
        <is>
          <t>Synapse Integration Platform</t>
        </is>
      </c>
    </row>
    <row r="3">
      <c r="B3" s="2" t="inlineStr">
        <is>
          <t>Project Plan v3  ·  Aggressive 2-Month Build + 1-Month UAT</t>
        </is>
      </c>
    </row>
    <row r="5">
      <c r="B5" s="3" t="inlineStr">
        <is>
          <t>Generated</t>
        </is>
      </c>
      <c r="C5" s="4" t="inlineStr">
        <is>
          <t>2026-06-03</t>
        </is>
      </c>
    </row>
    <row r="6">
      <c r="B6" s="3" t="inlineStr">
        <is>
          <t>Owner</t>
        </is>
      </c>
      <c r="C6" s="4" t="inlineStr">
        <is>
          <t>Kiran Suvarna (Nalashaa)</t>
        </is>
      </c>
    </row>
    <row r="7">
      <c r="B7" s="3" t="inlineStr">
        <is>
          <t>Delivery window</t>
        </is>
      </c>
      <c r="C7" s="4" t="inlineStr">
        <is>
          <t>Dev: 18 May – 17 Jul 2026  ·  UAT: 20 Jul – 14 Aug 2026  ·  Go-live: ~15 Aug 2026</t>
        </is>
      </c>
    </row>
    <row r="8">
      <c r="B8" s="3" t="inlineStr">
        <is>
          <t>Team</t>
        </is>
      </c>
      <c r="C8" s="4" t="inlineStr">
        <is>
          <t>2 full-stack AI engineers (Vibecoding) — Dev A &amp; Dev B. Module ownership, no FE/BE split.</t>
        </is>
      </c>
    </row>
    <row r="9">
      <c r="B9" s="3" t="inlineStr">
        <is>
          <t>Backend stack</t>
        </is>
      </c>
      <c r="C9" s="4" t="inlineStr">
        <is>
          <t>Node.js + Express + TypeScript (kept). LLD's .NET is reference architecture only — no migration.</t>
        </is>
      </c>
    </row>
    <row r="10">
      <c r="B10" s="3" t="inlineStr">
        <is>
          <t>Code path</t>
        </is>
      </c>
      <c r="C10" s="4" t="inlineStr">
        <is>
          <t>D:\Nalashaa_Work\AI_Work\synapse-fullstack</t>
        </is>
      </c>
    </row>
    <row r="11">
      <c r="B11" s="3" t="inlineStr">
        <is>
          <t>Plan version</t>
        </is>
      </c>
      <c r="C11" s="4" t="inlineStr">
        <is>
          <t>v3.0 (supersedes docs/Synapse_Project_Plan_v1.xlsx)</t>
        </is>
      </c>
    </row>
    <row r="13">
      <c r="B13" s="5" t="inlineStr">
        <is>
          <t>What changed from v1</t>
        </is>
      </c>
    </row>
    <row r="14" ht="30" customHeight="1">
      <c r="B14" s="6" t="inlineStr">
        <is>
          <t>▸ Backend</t>
        </is>
      </c>
      <c r="C14" s="7" t="inlineStr">
        <is>
          <t>Node.js retained. No .NET rewrite — the existing Jira + SharePoint engine stays and we build on it.</t>
        </is>
      </c>
    </row>
    <row r="15" ht="30" customHeight="1">
      <c r="B15" s="6" t="inlineStr">
        <is>
          <t>▸ Pace</t>
        </is>
      </c>
      <c r="C15" s="7" t="inlineStr">
        <is>
          <t>Compressed to 2-month development + 1-month UAT. Aggressive but feasible with Vibecoding velocity.</t>
        </is>
      </c>
    </row>
    <row r="16" ht="30" customHeight="1">
      <c r="B16" s="6" t="inlineStr">
        <is>
          <t>▸ Team model</t>
        </is>
      </c>
      <c r="C16" s="7" t="inlineStr">
        <is>
          <t>2 full-stack devs own whole modules end-to-end (build + wire + test). No separate FE/BE/QA dev lanes.</t>
        </is>
      </c>
    </row>
    <row r="17" ht="30" customHeight="1">
      <c r="B17" s="6" t="inlineStr">
        <is>
          <t>▸ New module</t>
        </is>
      </c>
      <c r="C17" s="7" t="inlineStr">
        <is>
          <t>Policy-Based Access Control added — company policy -&gt; user subscription -&gt; level of access. High priority.</t>
        </is>
      </c>
    </row>
    <row r="18" ht="30" customHeight="1">
      <c r="B18" s="6" t="inlineStr">
        <is>
          <t>▸ Already done</t>
        </is>
      </c>
      <c r="C18" s="7" t="inlineStr">
        <is>
          <t>SharePoint -&gt; Postgres adapter complete and tested locally. Marked Done in the plan (0 remaining effort).</t>
        </is>
      </c>
    </row>
    <row r="20">
      <c r="B20" s="5" t="inlineStr">
        <is>
          <t>Scope — modules in this release</t>
        </is>
      </c>
    </row>
    <row r="21" ht="26" customHeight="1">
      <c r="B21" s="6" t="inlineStr">
        <is>
          <t>Hub engine</t>
        </is>
      </c>
      <c r="C21" s="7" t="inlineStr">
        <is>
          <t>Message envelope, bus, router, inbox/outbox/DLQ, retry + circuit breaker (Node/TS per LLD).</t>
        </is>
      </c>
    </row>
    <row r="22" ht="26" customHeight="1">
      <c r="B22" s="6" t="inlineStr">
        <is>
          <t>Adapters</t>
        </is>
      </c>
      <c r="C22" s="7" t="inlineStr">
        <is>
          <t>SharePoint-&gt;Postgres (DONE), SharePoint-&gt;MSSQL, Jira-&gt;SharePoint (harden).</t>
        </is>
      </c>
    </row>
    <row r="23" ht="26" customHeight="1">
      <c r="B23" s="6" t="inlineStr">
        <is>
          <t>Connection Wizard</t>
        </is>
      </c>
      <c r="C23" s="7" t="inlineStr">
        <is>
          <t>Full 6-step builder incl. mapping (Step 4) and test/deploy (Step 6).</t>
        </is>
      </c>
    </row>
    <row r="24" ht="26" customHeight="1">
      <c r="B24" s="6" t="inlineStr">
        <is>
          <t>Mapping Canvas</t>
        </is>
      </c>
      <c r="C24" s="7" t="inlineStr">
        <is>
          <t>Drag-map + AI auto-map (Claude API) with confidence scoring.</t>
        </is>
      </c>
    </row>
    <row r="25" ht="26" customHeight="1">
      <c r="B25" s="6" t="inlineStr">
        <is>
          <t>Policy-Based Access</t>
        </is>
      </c>
      <c r="C25" s="7" t="inlineStr">
        <is>
          <t>Company policy -&gt; user subscription -&gt; enforced access level. JWT + middleware + admin UI.</t>
        </is>
      </c>
    </row>
    <row r="26" ht="26" customHeight="1">
      <c r="B26" s="6" t="inlineStr">
        <is>
          <t>Monitoring</t>
        </is>
      </c>
      <c r="C26" s="7" t="inlineStr">
        <is>
          <t>Health Dashboard, Trading/Message Monitor (full trace), Alerts (in-app + email).</t>
        </is>
      </c>
    </row>
    <row r="27" ht="26" customHeight="1">
      <c r="B27" s="6" t="inlineStr">
        <is>
          <t>Platform</t>
        </is>
      </c>
      <c r="C27" s="7" t="inlineStr">
        <is>
          <t>Connector Studio, Master Entity Catalog (basic), Credential Vault, Scheduler, Audit log, Multi-tenancy.</t>
        </is>
      </c>
    </row>
    <row r="29">
      <c r="B29" s="5" t="inlineStr">
        <is>
          <t>Tab guide  ·  Status legend</t>
        </is>
      </c>
    </row>
    <row r="30">
      <c r="B30" s="6" t="inlineStr">
        <is>
          <t>Plan</t>
        </is>
      </c>
      <c r="C30" s="7" t="inlineStr">
        <is>
          <t>Module-level tasks. Update Status, %, and Done Date. On-Time auto-calculates.</t>
        </is>
      </c>
    </row>
    <row r="31">
      <c r="B31" s="6" t="inlineStr">
        <is>
          <t>Milestones</t>
        </is>
      </c>
      <c r="C31" s="7" t="inlineStr">
        <is>
          <t>6 checkpoints M1-M6 with target dates and acceptance criteria.</t>
        </is>
      </c>
    </row>
    <row r="32">
      <c r="B32" s="6" t="inlineStr">
        <is>
          <t>Sprint Plan</t>
        </is>
      </c>
      <c r="C32" s="7" t="inlineStr">
        <is>
          <t>4 dev sprints + stabilization + UAT. Capacity vs loaded hours auto-calculated.</t>
        </is>
      </c>
    </row>
    <row r="33">
      <c r="B33" s="6" t="inlineStr">
        <is>
          <t>Risks &amp; Decisions</t>
        </is>
      </c>
      <c r="C33" s="7" t="inlineStr">
        <is>
          <t>Top risks and open decisions, kept short.</t>
        </is>
      </c>
    </row>
    <row r="35">
      <c r="B35" s="8" t="inlineStr">
        <is>
          <t>Not Started</t>
        </is>
      </c>
    </row>
    <row r="36">
      <c r="B36" s="9" t="inlineStr">
        <is>
          <t>In Progress</t>
        </is>
      </c>
    </row>
    <row r="37">
      <c r="B37" s="10" t="inlineStr">
        <is>
          <t>Blocked</t>
        </is>
      </c>
    </row>
    <row r="38">
      <c r="B38" s="11" t="inlineStr">
        <is>
          <t>Done</t>
        </is>
      </c>
    </row>
    <row r="40">
      <c r="B40" s="12" t="inlineStr">
        <is>
          <t>Effort hours are Vibecoding-adjusted (already discounted for AI-assisted velocity).</t>
        </is>
      </c>
    </row>
  </sheetData>
  <mergeCells count="6">
    <mergeCell ref="B13:C13"/>
    <mergeCell ref="B2:C2"/>
    <mergeCell ref="B29:C29"/>
    <mergeCell ref="B3:C3"/>
    <mergeCell ref="B20:C20"/>
    <mergeCell ref="B40:C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52" customWidth="1" min="4" max="4"/>
    <col width="9" customWidth="1" min="5" max="5"/>
    <col width="9" customWidth="1" min="6" max="6"/>
    <col width="12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46" customWidth="1" min="13" max="13"/>
  </cols>
  <sheetData>
    <row r="1" ht="30" customHeight="1">
      <c r="A1" s="13" t="inlineStr">
        <is>
          <t>ID</t>
        </is>
      </c>
      <c r="B1" s="13" t="inlineStr">
        <is>
          <t>Sprint</t>
        </is>
      </c>
      <c r="C1" s="13" t="inlineStr">
        <is>
          <t>Module</t>
        </is>
      </c>
      <c r="D1" s="13" t="inlineStr">
        <is>
          <t>Task</t>
        </is>
      </c>
      <c r="E1" s="13" t="inlineStr">
        <is>
          <t>Owner</t>
        </is>
      </c>
      <c r="F1" s="13" t="inlineStr">
        <is>
          <t>Effort (h)</t>
        </is>
      </c>
      <c r="G1" s="13" t="inlineStr">
        <is>
          <t>Status</t>
        </is>
      </c>
      <c r="H1" s="13" t="inlineStr">
        <is>
          <t>%</t>
        </is>
      </c>
      <c r="I1" s="13" t="inlineStr">
        <is>
          <t>Start</t>
        </is>
      </c>
      <c r="J1" s="13" t="inlineStr">
        <is>
          <t>Due</t>
        </is>
      </c>
      <c r="K1" s="13" t="inlineStr">
        <is>
          <t>Done Date</t>
        </is>
      </c>
      <c r="L1" s="13" t="inlineStr">
        <is>
          <t>On-Time?</t>
        </is>
      </c>
      <c r="M1" s="13" t="inlineStr">
        <is>
          <t>Notes</t>
        </is>
      </c>
    </row>
    <row r="2" ht="30" customHeight="1">
      <c r="A2" s="14" t="inlineStr">
        <is>
          <t>T-01</t>
        </is>
      </c>
      <c r="B2" s="14" t="inlineStr">
        <is>
          <t>S1</t>
        </is>
      </c>
      <c r="C2" s="15" t="inlineStr">
        <is>
          <t>Hub Engine</t>
        </is>
      </c>
      <c r="D2" s="15" t="inlineStr">
        <is>
          <t>MessageEnvelope + SHA-256 checksum + topic model (Node/TS per LLD §6)</t>
        </is>
      </c>
      <c r="E2" s="14" t="inlineStr">
        <is>
          <t>Dev A</t>
        </is>
      </c>
      <c r="F2" s="14" t="n">
        <v>24</v>
      </c>
      <c r="G2" s="14" t="inlineStr">
        <is>
          <t>Done</t>
        </is>
      </c>
      <c r="H2" s="16" t="n">
        <v>1</v>
      </c>
      <c r="I2" s="17" t="n">
        <v>46160</v>
      </c>
      <c r="J2" s="17" t="n">
        <v>46171</v>
      </c>
      <c r="K2" s="17" t="n">
        <v>46176</v>
      </c>
      <c r="L2" s="14">
        <f>IF(K2="","",IF(K2&lt;=J2,"On-Time","Late"))</f>
        <v/>
      </c>
      <c r="M2" s="15" t="inlineStr">
        <is>
          <t>COMPLETE (T-01) — immutable envelope + SHA-256 checksum existed; added hub/topic.ts (canonical source.entity.event, validate/parse/build, centralized topicMatches), topic validation + idempotency-key-derived messageId in createEnvelope, router refactor. 59 hub tests pass.</t>
        </is>
      </c>
    </row>
    <row r="3" ht="30" customHeight="1">
      <c r="A3" s="14" t="inlineStr">
        <is>
          <t>T-02</t>
        </is>
      </c>
      <c r="B3" s="14" t="inlineStr">
        <is>
          <t>S1</t>
        </is>
      </c>
      <c r="C3" s="15" t="inlineStr">
        <is>
          <t>Hub Engine</t>
        </is>
      </c>
      <c r="D3" s="15" t="inlineStr">
        <is>
          <t>IntegrationBus + Router + Subscription registry (in-memory queue + fan-out)</t>
        </is>
      </c>
      <c r="E3" s="14" t="inlineStr">
        <is>
          <t>Dev A</t>
        </is>
      </c>
      <c r="F3" s="14" t="n">
        <v>24</v>
      </c>
      <c r="G3" s="14" t="inlineStr">
        <is>
          <t>Not Started</t>
        </is>
      </c>
      <c r="H3" s="16" t="n">
        <v>0</v>
      </c>
      <c r="I3" s="17" t="n">
        <v>46160</v>
      </c>
      <c r="J3" s="17" t="n">
        <v>46171</v>
      </c>
      <c r="K3" s="17" t="n"/>
      <c r="L3" s="14">
        <f>IF(K3="","",IF(K3&lt;=J3,"On-Time","Late"))</f>
        <v/>
      </c>
      <c r="M3" s="15" t="inlineStr">
        <is>
          <t>Backpressure via bounded queue.</t>
        </is>
      </c>
    </row>
    <row r="4" ht="30" customHeight="1">
      <c r="A4" s="14" t="inlineStr">
        <is>
          <t>T-03</t>
        </is>
      </c>
      <c r="B4" s="14" t="inlineStr">
        <is>
          <t>S1</t>
        </is>
      </c>
      <c r="C4" s="15" t="inlineStr">
        <is>
          <t>Hub Engine</t>
        </is>
      </c>
      <c r="D4" s="15" t="inlineStr">
        <is>
          <t>Persistence: Inbox / Outbox / DeadLetter / Idempotency tables + repos (Postgres)</t>
        </is>
      </c>
      <c r="E4" s="14" t="inlineStr">
        <is>
          <t>Dev A</t>
        </is>
      </c>
      <c r="F4" s="14" t="n">
        <v>20</v>
      </c>
      <c r="G4" s="14" t="inlineStr">
        <is>
          <t>Not Started</t>
        </is>
      </c>
      <c r="H4" s="16" t="n">
        <v>0</v>
      </c>
      <c r="I4" s="17" t="n">
        <v>46160</v>
      </c>
      <c r="J4" s="17" t="n">
        <v>46171</v>
      </c>
      <c r="K4" s="17" t="n"/>
      <c r="L4" s="14">
        <f>IF(K4="","",IF(K4&lt;=J4,"On-Time","Late"))</f>
        <v/>
      </c>
      <c r="M4" s="15" t="inlineStr">
        <is>
          <t>LLD §8 schema, Drizzle.</t>
        </is>
      </c>
    </row>
    <row r="5" ht="30" customHeight="1">
      <c r="A5" s="14" t="inlineStr">
        <is>
          <t>T-04</t>
        </is>
      </c>
      <c r="B5" s="14" t="inlineStr">
        <is>
          <t>S1</t>
        </is>
      </c>
      <c r="C5" s="15" t="inlineStr">
        <is>
          <t>Reliability</t>
        </is>
      </c>
      <c r="D5" s="15" t="inlineStr">
        <is>
          <t>Retry+backoff + circuit breaker + DLQ auto/manual replay</t>
        </is>
      </c>
      <c r="E5" s="14" t="inlineStr">
        <is>
          <t>Dev A</t>
        </is>
      </c>
      <c r="F5" s="14" t="n">
        <v>20</v>
      </c>
      <c r="G5" s="14" t="inlineStr">
        <is>
          <t>Not Started</t>
        </is>
      </c>
      <c r="H5" s="16" t="n">
        <v>0</v>
      </c>
      <c r="I5" s="17" t="n">
        <v>46160</v>
      </c>
      <c r="J5" s="17" t="n">
        <v>46171</v>
      </c>
      <c r="K5" s="17" t="n"/>
      <c r="L5" s="14">
        <f>IF(K5="","",IF(K5&lt;=J5,"On-Time","Late"))</f>
        <v/>
      </c>
      <c r="M5" s="15" t="inlineStr">
        <is>
          <t>Per Architecture §11.</t>
        </is>
      </c>
    </row>
    <row r="6" ht="30" customHeight="1">
      <c r="A6" s="14" t="inlineStr">
        <is>
          <t>T-05</t>
        </is>
      </c>
      <c r="B6" s="14" t="inlineStr">
        <is>
          <t>S1</t>
        </is>
      </c>
      <c r="C6" s="15" t="inlineStr">
        <is>
          <t>Adapter</t>
        </is>
      </c>
      <c r="D6" s="15" t="inlineStr">
        <is>
          <t>SharePoint -&gt; Postgres (delta poll, schema introspect, DDL diff/apply, upsert)</t>
        </is>
      </c>
      <c r="E6" s="14" t="inlineStr">
        <is>
          <t>Dev B</t>
        </is>
      </c>
      <c r="F6" s="14" t="n">
        <v>0</v>
      </c>
      <c r="G6" s="14" t="inlineStr">
        <is>
          <t>Done</t>
        </is>
      </c>
      <c r="H6" s="16" t="n">
        <v>1</v>
      </c>
      <c r="I6" s="17" t="n">
        <v>46154</v>
      </c>
      <c r="J6" s="17" t="n">
        <v>46171</v>
      </c>
      <c r="K6" s="17" t="n">
        <v>46159</v>
      </c>
      <c r="L6" s="14">
        <f>IF(K6="","",IF(K6&lt;=J6,"On-Time","Late"))</f>
        <v/>
      </c>
      <c r="M6" s="15" t="inlineStr">
        <is>
          <t>COMPLETE — tested locally before kickoff.</t>
        </is>
      </c>
    </row>
    <row r="7" ht="30" customHeight="1">
      <c r="A7" s="14" t="inlineStr">
        <is>
          <t>T-06</t>
        </is>
      </c>
      <c r="B7" s="14" t="inlineStr">
        <is>
          <t>S1</t>
        </is>
      </c>
      <c r="C7" s="15" t="inlineStr">
        <is>
          <t>Adapter</t>
        </is>
      </c>
      <c r="D7" s="15" t="inlineStr">
        <is>
          <t>SharePoint -&gt; MSSQL (extend SP-&gt;PG: MERGE upsert + sys.columns introspect)</t>
        </is>
      </c>
      <c r="E7" s="14" t="inlineStr">
        <is>
          <t>Dev B</t>
        </is>
      </c>
      <c r="F7" s="14" t="n">
        <v>24</v>
      </c>
      <c r="G7" s="14" t="inlineStr">
        <is>
          <t>Done</t>
        </is>
      </c>
      <c r="H7" s="16" t="n">
        <v>1</v>
      </c>
      <c r="I7" s="17" t="n">
        <v>46160</v>
      </c>
      <c r="J7" s="17" t="n">
        <v>46171</v>
      </c>
      <c r="K7" s="17" t="n">
        <v>46175</v>
      </c>
      <c r="L7" s="14">
        <f>IF(K7="","",IF(K7&lt;=J7,"On-Time","Late"))</f>
        <v/>
      </c>
      <c r="M7" s="15" t="inlineStr">
        <is>
          <t>COMPLETE (T-06) — SqlServerWriter smartUpsert + sys.columns introspect + hub MSSQL endpoints + wizard wiring. Tested.</t>
        </is>
      </c>
    </row>
    <row r="8" ht="30" customHeight="1">
      <c r="A8" s="14" t="inlineStr">
        <is>
          <t>T-07</t>
        </is>
      </c>
      <c r="B8" s="14" t="inlineStr">
        <is>
          <t>S1</t>
        </is>
      </c>
      <c r="C8" s="15" t="inlineStr">
        <is>
          <t>Frontend</t>
        </is>
      </c>
      <c r="D8" s="15" t="inlineStr">
        <is>
          <t>Wire Dashboard + Registry to real APIs (remove mock data)</t>
        </is>
      </c>
      <c r="E8" s="14" t="inlineStr">
        <is>
          <t>Dev B</t>
        </is>
      </c>
      <c r="F8" s="14" t="n">
        <v>16</v>
      </c>
      <c r="G8" s="14" t="inlineStr">
        <is>
          <t>In Progress</t>
        </is>
      </c>
      <c r="H8" s="16" t="n">
        <v>0.75</v>
      </c>
      <c r="I8" s="17" t="n">
        <v>46160</v>
      </c>
      <c r="J8" s="17" t="n">
        <v>46171</v>
      </c>
      <c r="K8" s="17" t="n"/>
      <c r="L8" s="14">
        <f>IF(K8="","",IF(K8&lt;=J8,"On-Time","Late"))</f>
        <v/>
      </c>
      <c r="M8" s="15" t="inlineStr">
        <is>
          <t>T-07 code-complete: integrationMap.js shared mapper, live KPIs/tiles/charts off /api/connected, sample fallback, 0 diagnostics. Pending browser verify for M1.</t>
        </is>
      </c>
    </row>
    <row r="9" ht="30" customHeight="1">
      <c r="A9" s="14" t="inlineStr">
        <is>
          <t>T-08</t>
        </is>
      </c>
      <c r="B9" s="14" t="inlineStr">
        <is>
          <t>S2</t>
        </is>
      </c>
      <c r="C9" s="15" t="inlineStr">
        <is>
          <t>Wizard</t>
        </is>
      </c>
      <c r="D9" s="15" t="inlineStr">
        <is>
          <t>Connection Wizard 6-step backend + Step 4 (mapping) + Step 6 (test/deploy gate)</t>
        </is>
      </c>
      <c r="E9" s="14" t="inlineStr">
        <is>
          <t>Dev A</t>
        </is>
      </c>
      <c r="F9" s="14" t="n">
        <v>28</v>
      </c>
      <c r="G9" s="14" t="inlineStr">
        <is>
          <t>Not Started</t>
        </is>
      </c>
      <c r="H9" s="16" t="n">
        <v>0</v>
      </c>
      <c r="I9" s="17" t="n">
        <v>46174</v>
      </c>
      <c r="J9" s="17" t="n">
        <v>46185</v>
      </c>
      <c r="K9" s="17" t="n"/>
      <c r="L9" s="14">
        <f>IF(K9="","",IF(K9&lt;=J9,"On-Time","Late"))</f>
        <v/>
      </c>
      <c r="M9" s="15" t="inlineStr">
        <is>
          <t>Hard test-before-publish gate.</t>
        </is>
      </c>
    </row>
    <row r="10" ht="30" customHeight="1">
      <c r="A10" s="14" t="inlineStr">
        <is>
          <t>T-09</t>
        </is>
      </c>
      <c r="B10" s="14" t="inlineStr">
        <is>
          <t>S2</t>
        </is>
      </c>
      <c r="C10" s="15" t="inlineStr">
        <is>
          <t>Mapping</t>
        </is>
      </c>
      <c r="D10" s="15" t="inlineStr">
        <is>
          <t>Mapping Canvas + AI Auto-Map (Claude API) + confidence badges</t>
        </is>
      </c>
      <c r="E10" s="14" t="inlineStr">
        <is>
          <t>Dev B</t>
        </is>
      </c>
      <c r="F10" s="14" t="n">
        <v>30</v>
      </c>
      <c r="G10" s="14" t="inlineStr">
        <is>
          <t>Not Started</t>
        </is>
      </c>
      <c r="H10" s="16" t="n">
        <v>0</v>
      </c>
      <c r="I10" s="17" t="n">
        <v>46174</v>
      </c>
      <c r="J10" s="17" t="n">
        <v>46185</v>
      </c>
      <c r="K10" s="17" t="n"/>
      <c r="L10" s="14">
        <f>IF(K10="","",IF(K10&lt;=J10,"On-Time","Late"))</f>
        <v/>
      </c>
      <c r="M10" s="15" t="inlineStr">
        <is>
          <t>Human-confirm required.</t>
        </is>
      </c>
    </row>
    <row r="11" ht="30" customHeight="1">
      <c r="A11" s="14" t="inlineStr">
        <is>
          <t>T-10</t>
        </is>
      </c>
      <c r="B11" s="14" t="inlineStr">
        <is>
          <t>S2</t>
        </is>
      </c>
      <c r="C11" s="15" t="inlineStr">
        <is>
          <t>Policy Access</t>
        </is>
      </c>
      <c r="D11" s="15" t="inlineStr">
        <is>
          <t>Policy-Based Access Control — data model + policy engine (policies, permissions, subscription)</t>
        </is>
      </c>
      <c r="E11" s="14" t="inlineStr">
        <is>
          <t>Dev A</t>
        </is>
      </c>
      <c r="F11" s="14" t="n">
        <v>24</v>
      </c>
      <c r="G11" s="14" t="inlineStr">
        <is>
          <t>Not Started</t>
        </is>
      </c>
      <c r="H11" s="16" t="n">
        <v>0</v>
      </c>
      <c r="I11" s="17" t="n">
        <v>46174</v>
      </c>
      <c r="J11" s="17" t="n">
        <v>46185</v>
      </c>
      <c r="K11" s="17" t="n"/>
      <c r="L11" s="14">
        <f>IF(K11="","",IF(K11&lt;=J11,"On-Time","Late"))</f>
        <v/>
      </c>
      <c r="M11" s="15" t="inlineStr">
        <is>
          <t>NEW. Company policy -&gt; access level.</t>
        </is>
      </c>
    </row>
    <row r="12" ht="30" customHeight="1">
      <c r="A12" s="14" t="inlineStr">
        <is>
          <t>T-11</t>
        </is>
      </c>
      <c r="B12" s="14" t="inlineStr">
        <is>
          <t>S2</t>
        </is>
      </c>
      <c r="C12" s="15" t="inlineStr">
        <is>
          <t>Frontend</t>
        </is>
      </c>
      <c r="D12" s="15" t="inlineStr">
        <is>
          <t>Wire Monitor + Connected + Push to real APIs</t>
        </is>
      </c>
      <c r="E12" s="14" t="inlineStr">
        <is>
          <t>Dev B</t>
        </is>
      </c>
      <c r="F12" s="14" t="n">
        <v>18</v>
      </c>
      <c r="G12" s="14" t="inlineStr">
        <is>
          <t>Not Started</t>
        </is>
      </c>
      <c r="H12" s="16" t="n">
        <v>0</v>
      </c>
      <c r="I12" s="17" t="n">
        <v>46174</v>
      </c>
      <c r="J12" s="17" t="n">
        <v>46185</v>
      </c>
      <c r="K12" s="17" t="n"/>
      <c r="L12" s="14">
        <f>IF(K12="","",IF(K12&lt;=J12,"On-Time","Late"))</f>
        <v/>
      </c>
      <c r="M12" s="15" t="inlineStr">
        <is>
          <t>Replace remaining mocks.</t>
        </is>
      </c>
    </row>
    <row r="13" ht="30" customHeight="1">
      <c r="A13" s="14" t="inlineStr">
        <is>
          <t>T-12</t>
        </is>
      </c>
      <c r="B13" s="14" t="inlineStr">
        <is>
          <t>S2</t>
        </is>
      </c>
      <c r="C13" s="15" t="inlineStr">
        <is>
          <t>Vault</t>
        </is>
      </c>
      <c r="D13" s="15" t="inlineStr">
        <is>
          <t>Credential decrypt endpoint + DB-connection credential type + test-connection</t>
        </is>
      </c>
      <c r="E13" s="14" t="inlineStr">
        <is>
          <t>Dev A</t>
        </is>
      </c>
      <c r="F13" s="14" t="n">
        <v>12</v>
      </c>
      <c r="G13" s="14" t="inlineStr">
        <is>
          <t>Not Started</t>
        </is>
      </c>
      <c r="H13" s="16" t="n">
        <v>0</v>
      </c>
      <c r="I13" s="17" t="n">
        <v>46174</v>
      </c>
      <c r="J13" s="17" t="n">
        <v>46185</v>
      </c>
      <c r="K13" s="17" t="n"/>
      <c r="L13" s="14">
        <f>IF(K13="","",IF(K13&lt;=J13,"On-Time","Late"))</f>
        <v/>
      </c>
      <c r="M13" s="15" t="inlineStr">
        <is>
          <t>AES-256-GCM in place.</t>
        </is>
      </c>
    </row>
    <row r="14" ht="30" customHeight="1">
      <c r="A14" s="14" t="inlineStr">
        <is>
          <t>T-13</t>
        </is>
      </c>
      <c r="B14" s="14" t="inlineStr">
        <is>
          <t>S3</t>
        </is>
      </c>
      <c r="C14" s="15" t="inlineStr">
        <is>
          <t>Policy Access</t>
        </is>
      </c>
      <c r="D14" s="15" t="inlineStr">
        <is>
          <t>Policy enforcement middleware + JWT login + admin UI (manage policies &amp; user subscriptions)</t>
        </is>
      </c>
      <c r="E14" s="14" t="inlineStr">
        <is>
          <t>Dev A</t>
        </is>
      </c>
      <c r="F14" s="14" t="n">
        <v>32</v>
      </c>
      <c r="G14" s="14" t="inlineStr">
        <is>
          <t>Not Started</t>
        </is>
      </c>
      <c r="H14" s="16" t="n">
        <v>0</v>
      </c>
      <c r="I14" s="17" t="n">
        <v>46188</v>
      </c>
      <c r="J14" s="17" t="n">
        <v>46199</v>
      </c>
      <c r="K14" s="17" t="n"/>
      <c r="L14" s="14">
        <f>IF(K14="","",IF(K14&lt;=J14,"On-Time","Late"))</f>
        <v/>
      </c>
      <c r="M14" s="15" t="inlineStr">
        <is>
          <t>NEW. Subscription -&gt; enforced level of access.</t>
        </is>
      </c>
    </row>
    <row r="15" ht="30" customHeight="1">
      <c r="A15" s="14" t="inlineStr">
        <is>
          <t>T-14</t>
        </is>
      </c>
      <c r="B15" s="14" t="inlineStr">
        <is>
          <t>S3</t>
        </is>
      </c>
      <c r="C15" s="15" t="inlineStr">
        <is>
          <t>Studio</t>
        </is>
      </c>
      <c r="D15" s="15" t="inlineStr">
        <is>
          <t>Connector Studio — define / test / publish connector templates (backend + UI)</t>
        </is>
      </c>
      <c r="E15" s="14" t="inlineStr">
        <is>
          <t>Dev B</t>
        </is>
      </c>
      <c r="F15" s="14" t="n">
        <v>28</v>
      </c>
      <c r="G15" s="14" t="inlineStr">
        <is>
          <t>Not Started</t>
        </is>
      </c>
      <c r="H15" s="16" t="n">
        <v>0</v>
      </c>
      <c r="I15" s="17" t="n">
        <v>46188</v>
      </c>
      <c r="J15" s="17" t="n">
        <v>46199</v>
      </c>
      <c r="K15" s="17" t="n"/>
      <c r="L15" s="14">
        <f>IF(K15="","",IF(K15&lt;=J15,"On-Time","Late"))</f>
        <v/>
      </c>
      <c r="M15" s="15" t="inlineStr">
        <is>
          <t>Designer workflow.</t>
        </is>
      </c>
    </row>
    <row r="16" ht="30" customHeight="1">
      <c r="A16" s="14" t="inlineStr">
        <is>
          <t>T-15</t>
        </is>
      </c>
      <c r="B16" s="14" t="inlineStr">
        <is>
          <t>S3</t>
        </is>
      </c>
      <c r="C16" s="15" t="inlineStr">
        <is>
          <t>Alerts</t>
        </is>
      </c>
      <c r="D16" s="15" t="inlineStr">
        <is>
          <t>Alerts — failure detection + in-app feed + email dispatch + acknowledge</t>
        </is>
      </c>
      <c r="E16" s="14" t="inlineStr">
        <is>
          <t>Dev A</t>
        </is>
      </c>
      <c r="F16" s="14" t="n">
        <v>20</v>
      </c>
      <c r="G16" s="14" t="inlineStr">
        <is>
          <t>Not Started</t>
        </is>
      </c>
      <c r="H16" s="16" t="n">
        <v>0</v>
      </c>
      <c r="I16" s="17" t="n">
        <v>46188</v>
      </c>
      <c r="J16" s="17" t="n">
        <v>46199</v>
      </c>
      <c r="K16" s="17" t="n"/>
      <c r="L16" s="14">
        <f>IF(K16="","",IF(K16&lt;=J16,"On-Time","Late"))</f>
        <v/>
      </c>
      <c r="M16" s="15" t="inlineStr">
        <is>
          <t>Wire dormant queue.</t>
        </is>
      </c>
    </row>
    <row r="17" ht="30" customHeight="1">
      <c r="A17" s="14" t="inlineStr">
        <is>
          <t>T-16</t>
        </is>
      </c>
      <c r="B17" s="14" t="inlineStr">
        <is>
          <t>S3</t>
        </is>
      </c>
      <c r="C17" s="15" t="inlineStr">
        <is>
          <t>Monitoring</t>
        </is>
      </c>
      <c r="D17" s="15" t="inlineStr">
        <is>
          <t>Health Dashboard — real metrics, volume + error charts, drill-down</t>
        </is>
      </c>
      <c r="E17" s="14" t="inlineStr">
        <is>
          <t>Dev B</t>
        </is>
      </c>
      <c r="F17" s="14" t="n">
        <v>20</v>
      </c>
      <c r="G17" s="14" t="inlineStr">
        <is>
          <t>Not Started</t>
        </is>
      </c>
      <c r="H17" s="16" t="n">
        <v>0</v>
      </c>
      <c r="I17" s="17" t="n">
        <v>46188</v>
      </c>
      <c r="J17" s="17" t="n">
        <v>46199</v>
      </c>
      <c r="K17" s="17" t="n"/>
      <c r="L17" s="14">
        <f>IF(K17="","",IF(K17&lt;=J17,"On-Time","Late"))</f>
        <v/>
      </c>
      <c r="M17" s="15" t="inlineStr">
        <is>
          <t>Replace hardcoded SVG.</t>
        </is>
      </c>
    </row>
    <row r="18" ht="30" customHeight="1">
      <c r="A18" s="14" t="inlineStr">
        <is>
          <t>T-17</t>
        </is>
      </c>
      <c r="B18" s="14" t="inlineStr">
        <is>
          <t>S3</t>
        </is>
      </c>
      <c r="C18" s="15" t="inlineStr">
        <is>
          <t>Audit</t>
        </is>
      </c>
      <c r="D18" s="15" t="inlineStr">
        <is>
          <t>Audit log — middleware + viewer (ties to Policy module)</t>
        </is>
      </c>
      <c r="E18" s="14" t="inlineStr">
        <is>
          <t>Dev A</t>
        </is>
      </c>
      <c r="F18" s="14" t="n">
        <v>14</v>
      </c>
      <c r="G18" s="14" t="inlineStr">
        <is>
          <t>Not Started</t>
        </is>
      </c>
      <c r="H18" s="16" t="n">
        <v>0</v>
      </c>
      <c r="I18" s="17" t="n">
        <v>46188</v>
      </c>
      <c r="J18" s="17" t="n">
        <v>46199</v>
      </c>
      <c r="K18" s="17" t="n"/>
      <c r="L18" s="14">
        <f>IF(K18="","",IF(K18&lt;=J18,"On-Time","Late"))</f>
        <v/>
      </c>
      <c r="M18" s="15" t="inlineStr">
        <is>
          <t>Append-only, before/after diff.</t>
        </is>
      </c>
    </row>
    <row r="19" ht="30" customHeight="1">
      <c r="A19" s="14" t="inlineStr">
        <is>
          <t>T-18</t>
        </is>
      </c>
      <c r="B19" s="14" t="inlineStr">
        <is>
          <t>S4</t>
        </is>
      </c>
      <c r="C19" s="15" t="inlineStr">
        <is>
          <t>Monitoring</t>
        </is>
      </c>
      <c r="D19" s="15" t="inlineStr">
        <is>
          <t>Trading / Message Monitor — full per-message trace + error drill-down + create-task</t>
        </is>
      </c>
      <c r="E19" s="14" t="inlineStr">
        <is>
          <t>Dev B</t>
        </is>
      </c>
      <c r="F19" s="14" t="n">
        <v>24</v>
      </c>
      <c r="G19" s="14" t="inlineStr">
        <is>
          <t>Not Started</t>
        </is>
      </c>
      <c r="H19" s="16" t="n">
        <v>0</v>
      </c>
      <c r="I19" s="17" t="n">
        <v>46202</v>
      </c>
      <c r="J19" s="17" t="n">
        <v>46213</v>
      </c>
      <c r="K19" s="17" t="n"/>
      <c r="L19" s="14">
        <f>IF(K19="","",IF(K19&lt;=J19,"On-Time","Late"))</f>
        <v/>
      </c>
      <c r="M19" s="15" t="inlineStr">
        <is>
          <t>Expandable rows, mapping trace.</t>
        </is>
      </c>
    </row>
    <row r="20" ht="30" customHeight="1">
      <c r="A20" s="14" t="inlineStr">
        <is>
          <t>T-19</t>
        </is>
      </c>
      <c r="B20" s="14" t="inlineStr">
        <is>
          <t>S4</t>
        </is>
      </c>
      <c r="C20" s="15" t="inlineStr">
        <is>
          <t>Catalog</t>
        </is>
      </c>
      <c r="D20" s="15" t="inlineStr">
        <is>
          <t>Master Entity Catalog (basic) — entity registry + field-level usage</t>
        </is>
      </c>
      <c r="E20" s="14" t="inlineStr">
        <is>
          <t>Dev A</t>
        </is>
      </c>
      <c r="F20" s="14" t="n">
        <v>20</v>
      </c>
      <c r="G20" s="14" t="inlineStr">
        <is>
          <t>Not Started</t>
        </is>
      </c>
      <c r="H20" s="16" t="n">
        <v>0</v>
      </c>
      <c r="I20" s="17" t="n">
        <v>46202</v>
      </c>
      <c r="J20" s="17" t="n">
        <v>46213</v>
      </c>
      <c r="K20" s="17" t="n"/>
      <c r="L20" s="14">
        <f>IF(K20="","",IF(K20&lt;=J20,"On-Time","Late"))</f>
        <v/>
      </c>
      <c r="M20" s="15" t="inlineStr">
        <is>
          <t>Cross-adapter reference.</t>
        </is>
      </c>
    </row>
    <row r="21" ht="30" customHeight="1">
      <c r="A21" s="14" t="inlineStr">
        <is>
          <t>T-20</t>
        </is>
      </c>
      <c r="B21" s="14" t="inlineStr">
        <is>
          <t>S4</t>
        </is>
      </c>
      <c r="C21" s="15" t="inlineStr">
        <is>
          <t>Platform</t>
        </is>
      </c>
      <c r="D21" s="15" t="inlineStr">
        <is>
          <t>Multi-tenancy / org enforcement (row-level org_id, integrated with Policy)</t>
        </is>
      </c>
      <c r="E21" s="14" t="inlineStr">
        <is>
          <t>Dev A</t>
        </is>
      </c>
      <c r="F21" s="14" t="n">
        <v>16</v>
      </c>
      <c r="G21" s="14" t="inlineStr">
        <is>
          <t>Not Started</t>
        </is>
      </c>
      <c r="H21" s="16" t="n">
        <v>0</v>
      </c>
      <c r="I21" s="17" t="n">
        <v>46202</v>
      </c>
      <c r="J21" s="17" t="n">
        <v>46213</v>
      </c>
      <c r="K21" s="17" t="n"/>
      <c r="L21" s="14">
        <f>IF(K21="","",IF(K21&lt;=J21,"On-Time","Late"))</f>
        <v/>
      </c>
      <c r="M21" s="15" t="inlineStr">
        <is>
          <t>Data isolation.</t>
        </is>
      </c>
    </row>
    <row r="22" ht="30" customHeight="1">
      <c r="A22" s="14" t="inlineStr">
        <is>
          <t>T-21</t>
        </is>
      </c>
      <c r="B22" s="14" t="inlineStr">
        <is>
          <t>S4</t>
        </is>
      </c>
      <c r="C22" s="15" t="inlineStr">
        <is>
          <t>Scheduler</t>
        </is>
      </c>
      <c r="D22" s="15" t="inlineStr">
        <is>
          <t>Scheduler wire + cron builder UI (BullMQ repeatable jobs)</t>
        </is>
      </c>
      <c r="E22" s="14" t="inlineStr">
        <is>
          <t>Dev B</t>
        </is>
      </c>
      <c r="F22" s="14" t="n">
        <v>16</v>
      </c>
      <c r="G22" s="14" t="inlineStr">
        <is>
          <t>Not Started</t>
        </is>
      </c>
      <c r="H22" s="16" t="n">
        <v>0</v>
      </c>
      <c r="I22" s="17" t="n">
        <v>46202</v>
      </c>
      <c r="J22" s="17" t="n">
        <v>46213</v>
      </c>
      <c r="K22" s="17" t="n"/>
      <c r="L22" s="14">
        <f>IF(K22="","",IF(K22&lt;=J22,"On-Time","Late"))</f>
        <v/>
      </c>
      <c r="M22" s="15" t="inlineStr">
        <is>
          <t>Next-run preview.</t>
        </is>
      </c>
    </row>
    <row r="23" ht="30" customHeight="1">
      <c r="A23" s="14" t="inlineStr">
        <is>
          <t>T-22</t>
        </is>
      </c>
      <c r="B23" s="14" t="inlineStr">
        <is>
          <t>S4</t>
        </is>
      </c>
      <c r="C23" s="15" t="inlineStr">
        <is>
          <t>Adapter</t>
        </is>
      </c>
      <c r="D23" s="15" t="inlineStr">
        <is>
          <t>Jira -&gt; SharePoint parity verify + harden</t>
        </is>
      </c>
      <c r="E23" s="14" t="inlineStr">
        <is>
          <t>Dev B</t>
        </is>
      </c>
      <c r="F23" s="14" t="n">
        <v>12</v>
      </c>
      <c r="G23" s="14" t="inlineStr">
        <is>
          <t>Not Started</t>
        </is>
      </c>
      <c r="H23" s="16" t="n">
        <v>0</v>
      </c>
      <c r="I23" s="17" t="n">
        <v>46202</v>
      </c>
      <c r="J23" s="17" t="n">
        <v>46213</v>
      </c>
      <c r="K23" s="17" t="n"/>
      <c r="L23" s="14">
        <f>IF(K23="","",IF(K23&lt;=J23,"On-Time","Late"))</f>
        <v/>
      </c>
      <c r="M23" s="15" t="inlineStr">
        <is>
          <t>Existing engine regression.</t>
        </is>
      </c>
    </row>
    <row r="24" ht="30" customHeight="1">
      <c r="A24" s="14" t="inlineStr">
        <is>
          <t>T-23</t>
        </is>
      </c>
      <c r="B24" s="14" t="inlineStr">
        <is>
          <t>S4</t>
        </is>
      </c>
      <c r="C24" s="15" t="inlineStr">
        <is>
          <t>Integration</t>
        </is>
      </c>
      <c r="D24" s="15" t="inlineStr">
        <is>
          <t>End-to-end integration testing + bug bash (all modules)</t>
        </is>
      </c>
      <c r="E24" s="14" t="inlineStr">
        <is>
          <t>Both</t>
        </is>
      </c>
      <c r="F24" s="14" t="n">
        <v>24</v>
      </c>
      <c r="G24" s="14" t="inlineStr">
        <is>
          <t>Not Started</t>
        </is>
      </c>
      <c r="H24" s="16" t="n">
        <v>0</v>
      </c>
      <c r="I24" s="17" t="n">
        <v>46202</v>
      </c>
      <c r="J24" s="17" t="n">
        <v>46213</v>
      </c>
      <c r="K24" s="17" t="n"/>
      <c r="L24" s="14">
        <f>IF(K24="","",IF(K24&lt;=J24,"On-Time","Late"))</f>
        <v/>
      </c>
      <c r="M24" s="15" t="inlineStr">
        <is>
          <t>Feature-complete gate.</t>
        </is>
      </c>
    </row>
    <row r="25" ht="30" customHeight="1">
      <c r="A25" s="14" t="inlineStr">
        <is>
          <t>T-24</t>
        </is>
      </c>
      <c r="B25" s="14" t="inlineStr">
        <is>
          <t>Stab</t>
        </is>
      </c>
      <c r="C25" s="15" t="inlineStr">
        <is>
          <t>Hardening</t>
        </is>
      </c>
      <c r="D25" s="15" t="inlineStr">
        <is>
          <t>Security review (vault, policy enforcement, OWASP) + perf test (parallel workers)</t>
        </is>
      </c>
      <c r="E25" s="14" t="inlineStr">
        <is>
          <t>Both</t>
        </is>
      </c>
      <c r="F25" s="14" t="n">
        <v>20</v>
      </c>
      <c r="G25" s="14" t="inlineStr">
        <is>
          <t>Not Started</t>
        </is>
      </c>
      <c r="H25" s="16" t="n">
        <v>0</v>
      </c>
      <c r="I25" s="17" t="n">
        <v>46216</v>
      </c>
      <c r="J25" s="17" t="n">
        <v>46220</v>
      </c>
      <c r="K25" s="17" t="n"/>
      <c r="L25" s="14">
        <f>IF(K25="","",IF(K25&lt;=J25,"On-Time","Late"))</f>
        <v/>
      </c>
      <c r="M25" s="15" t="inlineStr">
        <is>
          <t>Pre-UAT gate.</t>
        </is>
      </c>
    </row>
    <row r="26" ht="30" customHeight="1">
      <c r="A26" s="14" t="inlineStr">
        <is>
          <t>T-25</t>
        </is>
      </c>
      <c r="B26" s="14" t="inlineStr">
        <is>
          <t>Stab</t>
        </is>
      </c>
      <c r="C26" s="15" t="inlineStr">
        <is>
          <t>Hardening</t>
        </is>
      </c>
      <c r="D26" s="15" t="inlineStr">
        <is>
          <t>Regression suite + smoke + fixes</t>
        </is>
      </c>
      <c r="E26" s="14" t="inlineStr">
        <is>
          <t>Both</t>
        </is>
      </c>
      <c r="F26" s="14" t="n">
        <v>16</v>
      </c>
      <c r="G26" s="14" t="inlineStr">
        <is>
          <t>Not Started</t>
        </is>
      </c>
      <c r="H26" s="16" t="n">
        <v>0</v>
      </c>
      <c r="I26" s="17" t="n">
        <v>46216</v>
      </c>
      <c r="J26" s="17" t="n">
        <v>46220</v>
      </c>
      <c r="K26" s="17" t="n"/>
      <c r="L26" s="14">
        <f>IF(K26="","",IF(K26&lt;=J26,"On-Time","Late"))</f>
        <v/>
      </c>
      <c r="M26" s="15" t="inlineStr">
        <is>
          <t>Stabilize.</t>
        </is>
      </c>
    </row>
    <row r="27" ht="30" customHeight="1">
      <c r="A27" s="14" t="inlineStr">
        <is>
          <t>T-26</t>
        </is>
      </c>
      <c r="B27" s="14" t="inlineStr">
        <is>
          <t>Stab</t>
        </is>
      </c>
      <c r="C27" s="15" t="inlineStr">
        <is>
          <t>Deploy</t>
        </is>
      </c>
      <c r="D27" s="15" t="inlineStr">
        <is>
          <t>Deploy to UAT environment (Docker) + smoke + runbook</t>
        </is>
      </c>
      <c r="E27" s="14" t="inlineStr">
        <is>
          <t>Dev A</t>
        </is>
      </c>
      <c r="F27" s="14" t="n">
        <v>12</v>
      </c>
      <c r="G27" s="14" t="inlineStr">
        <is>
          <t>Not Started</t>
        </is>
      </c>
      <c r="H27" s="16" t="n">
        <v>0</v>
      </c>
      <c r="I27" s="17" t="n">
        <v>46216</v>
      </c>
      <c r="J27" s="17" t="n">
        <v>46220</v>
      </c>
      <c r="K27" s="17" t="n"/>
      <c r="L27" s="14">
        <f>IF(K27="","",IF(K27&lt;=J27,"On-Time","Late"))</f>
        <v/>
      </c>
      <c r="M27" s="15" t="inlineStr">
        <is>
          <t>Code freeze.</t>
        </is>
      </c>
    </row>
    <row r="28" ht="30" customHeight="1">
      <c r="A28" s="14" t="inlineStr">
        <is>
          <t>T-27</t>
        </is>
      </c>
      <c r="B28" s="14" t="inlineStr">
        <is>
          <t>UAT</t>
        </is>
      </c>
      <c r="C28" s="15" t="inlineStr">
        <is>
          <t>UAT</t>
        </is>
      </c>
      <c r="D28" s="15" t="inlineStr">
        <is>
          <t>UAT planning + scenarios + test-data setup</t>
        </is>
      </c>
      <c r="E28" s="14" t="inlineStr">
        <is>
          <t>BA/QA</t>
        </is>
      </c>
      <c r="F28" s="14" t="n">
        <v>24</v>
      </c>
      <c r="G28" s="14" t="inlineStr">
        <is>
          <t>Not Started</t>
        </is>
      </c>
      <c r="H28" s="16" t="n">
        <v>0</v>
      </c>
      <c r="I28" s="17" t="n">
        <v>46223</v>
      </c>
      <c r="J28" s="17" t="n">
        <v>46248</v>
      </c>
      <c r="K28" s="17" t="n"/>
      <c r="L28" s="14">
        <f>IF(K28="","",IF(K28&lt;=J28,"On-Time","Late"))</f>
        <v/>
      </c>
      <c r="M28" s="15" t="inlineStr">
        <is>
          <t>Scripts per module.</t>
        </is>
      </c>
    </row>
    <row r="29" ht="30" customHeight="1">
      <c r="A29" s="14" t="inlineStr">
        <is>
          <t>T-28</t>
        </is>
      </c>
      <c r="B29" s="14" t="inlineStr">
        <is>
          <t>UAT</t>
        </is>
      </c>
      <c r="C29" s="15" t="inlineStr">
        <is>
          <t>UAT</t>
        </is>
      </c>
      <c r="D29" s="15" t="inlineStr">
        <is>
          <t>UAT cycle 1 execution</t>
        </is>
      </c>
      <c r="E29" s="14" t="inlineStr">
        <is>
          <t>QA + Stakeholders</t>
        </is>
      </c>
      <c r="F29" s="14" t="n">
        <v>40</v>
      </c>
      <c r="G29" s="14" t="inlineStr">
        <is>
          <t>Not Started</t>
        </is>
      </c>
      <c r="H29" s="16" t="n">
        <v>0</v>
      </c>
      <c r="I29" s="17" t="n">
        <v>46223</v>
      </c>
      <c r="J29" s="17" t="n">
        <v>46248</v>
      </c>
      <c r="K29" s="17" t="n"/>
      <c r="L29" s="14">
        <f>IF(K29="","",IF(K29&lt;=J29,"On-Time","Late"))</f>
        <v/>
      </c>
      <c r="M29" s="15" t="inlineStr">
        <is>
          <t>Log defects.</t>
        </is>
      </c>
    </row>
    <row r="30" ht="30" customHeight="1">
      <c r="A30" s="14" t="inlineStr">
        <is>
          <t>T-29</t>
        </is>
      </c>
      <c r="B30" s="14" t="inlineStr">
        <is>
          <t>UAT</t>
        </is>
      </c>
      <c r="C30" s="15" t="inlineStr">
        <is>
          <t>UAT</t>
        </is>
      </c>
      <c r="D30" s="15" t="inlineStr">
        <is>
          <t>Defect triage + fixes (cycle 1)</t>
        </is>
      </c>
      <c r="E30" s="14" t="inlineStr">
        <is>
          <t>Both</t>
        </is>
      </c>
      <c r="F30" s="14" t="n">
        <v>40</v>
      </c>
      <c r="G30" s="14" t="inlineStr">
        <is>
          <t>Not Started</t>
        </is>
      </c>
      <c r="H30" s="16" t="n">
        <v>0</v>
      </c>
      <c r="I30" s="17" t="n">
        <v>46223</v>
      </c>
      <c r="J30" s="17" t="n">
        <v>46248</v>
      </c>
      <c r="K30" s="17" t="n"/>
      <c r="L30" s="14">
        <f>IF(K30="","",IF(K30&lt;=J30,"On-Time","Late"))</f>
        <v/>
      </c>
      <c r="M30" s="15" t="inlineStr">
        <is>
          <t>Devs on standby.</t>
        </is>
      </c>
    </row>
    <row r="31" ht="30" customHeight="1">
      <c r="A31" s="14" t="inlineStr">
        <is>
          <t>T-30</t>
        </is>
      </c>
      <c r="B31" s="14" t="inlineStr">
        <is>
          <t>UAT</t>
        </is>
      </c>
      <c r="C31" s="15" t="inlineStr">
        <is>
          <t>UAT</t>
        </is>
      </c>
      <c r="D31" s="15" t="inlineStr">
        <is>
          <t>UAT cycle 2 + regression</t>
        </is>
      </c>
      <c r="E31" s="14" t="inlineStr">
        <is>
          <t>QA</t>
        </is>
      </c>
      <c r="F31" s="14" t="n">
        <v>24</v>
      </c>
      <c r="G31" s="14" t="inlineStr">
        <is>
          <t>Not Started</t>
        </is>
      </c>
      <c r="H31" s="16" t="n">
        <v>0</v>
      </c>
      <c r="I31" s="17" t="n">
        <v>46223</v>
      </c>
      <c r="J31" s="17" t="n">
        <v>46248</v>
      </c>
      <c r="K31" s="17" t="n"/>
      <c r="L31" s="14">
        <f>IF(K31="","",IF(K31&lt;=J31,"On-Time","Late"))</f>
        <v/>
      </c>
      <c r="M31" s="15" t="inlineStr">
        <is>
          <t>Verify fixes.</t>
        </is>
      </c>
    </row>
    <row r="32" ht="30" customHeight="1">
      <c r="A32" s="14" t="inlineStr">
        <is>
          <t>T-31</t>
        </is>
      </c>
      <c r="B32" s="14" t="inlineStr">
        <is>
          <t>UAT</t>
        </is>
      </c>
      <c r="C32" s="15" t="inlineStr">
        <is>
          <t>UAT</t>
        </is>
      </c>
      <c r="D32" s="15" t="inlineStr">
        <is>
          <t>UAT signoff + go-live readiness</t>
        </is>
      </c>
      <c r="E32" s="14" t="inlineStr">
        <is>
          <t>BA + Stakeholders</t>
        </is>
      </c>
      <c r="F32" s="14" t="n">
        <v>8</v>
      </c>
      <c r="G32" s="14" t="inlineStr">
        <is>
          <t>Not Started</t>
        </is>
      </c>
      <c r="H32" s="16" t="n">
        <v>0</v>
      </c>
      <c r="I32" s="17" t="n">
        <v>46223</v>
      </c>
      <c r="J32" s="17" t="n">
        <v>46248</v>
      </c>
      <c r="K32" s="17" t="n"/>
      <c r="L32" s="14">
        <f>IF(K32="","",IF(K32&lt;=J32,"On-Time","Late"))</f>
        <v/>
      </c>
      <c r="M32" s="15" t="inlineStr">
        <is>
          <t>Final acceptance.</t>
        </is>
      </c>
    </row>
    <row r="33">
      <c r="A33" s="18" t="n"/>
      <c r="B33" s="18" t="n"/>
      <c r="C33" s="19" t="inlineStr">
        <is>
          <t>S1 subtotal</t>
        </is>
      </c>
      <c r="D33" s="18" t="n"/>
      <c r="E33" s="18" t="n"/>
      <c r="F33" s="20">
        <f>SUM(F2:F8)</f>
        <v/>
      </c>
      <c r="G33" s="18" t="n"/>
      <c r="H33" s="18" t="n"/>
      <c r="I33" s="18" t="n"/>
      <c r="J33" s="18" t="n"/>
      <c r="K33" s="18" t="n"/>
      <c r="L33" s="18" t="n"/>
      <c r="M33" s="18" t="n"/>
    </row>
    <row r="34">
      <c r="A34" s="18" t="n"/>
      <c r="B34" s="18" t="n"/>
      <c r="C34" s="19" t="inlineStr">
        <is>
          <t>S2 subtotal</t>
        </is>
      </c>
      <c r="D34" s="18" t="n"/>
      <c r="E34" s="18" t="n"/>
      <c r="F34" s="20">
        <f>SUM(F9:F13)</f>
        <v/>
      </c>
      <c r="G34" s="18" t="n"/>
      <c r="H34" s="18" t="n"/>
      <c r="I34" s="18" t="n"/>
      <c r="J34" s="18" t="n"/>
      <c r="K34" s="18" t="n"/>
      <c r="L34" s="18" t="n"/>
      <c r="M34" s="18" t="n"/>
    </row>
    <row r="35">
      <c r="A35" s="18" t="n"/>
      <c r="B35" s="18" t="n"/>
      <c r="C35" s="19" t="inlineStr">
        <is>
          <t>S3 subtotal</t>
        </is>
      </c>
      <c r="D35" s="18" t="n"/>
      <c r="E35" s="18" t="n"/>
      <c r="F35" s="20">
        <f>SUM(F14:F18)</f>
        <v/>
      </c>
      <c r="G35" s="18" t="n"/>
      <c r="H35" s="18" t="n"/>
      <c r="I35" s="18" t="n"/>
      <c r="J35" s="18" t="n"/>
      <c r="K35" s="18" t="n"/>
      <c r="L35" s="18" t="n"/>
      <c r="M35" s="18" t="n"/>
    </row>
    <row r="36">
      <c r="A36" s="18" t="n"/>
      <c r="B36" s="18" t="n"/>
      <c r="C36" s="19" t="inlineStr">
        <is>
          <t>S4 subtotal</t>
        </is>
      </c>
      <c r="D36" s="18" t="n"/>
      <c r="E36" s="18" t="n"/>
      <c r="F36" s="20">
        <f>SUM(F19:F24)</f>
        <v/>
      </c>
      <c r="G36" s="18" t="n"/>
      <c r="H36" s="18" t="n"/>
      <c r="I36" s="18" t="n"/>
      <c r="J36" s="18" t="n"/>
      <c r="K36" s="18" t="n"/>
      <c r="L36" s="18" t="n"/>
      <c r="M36" s="18" t="n"/>
    </row>
    <row r="37">
      <c r="A37" s="18" t="n"/>
      <c r="B37" s="18" t="n"/>
      <c r="C37" s="19" t="inlineStr">
        <is>
          <t>Stab subtotal</t>
        </is>
      </c>
      <c r="D37" s="18" t="n"/>
      <c r="E37" s="18" t="n"/>
      <c r="F37" s="20">
        <f>SUM(F25:F27)</f>
        <v/>
      </c>
      <c r="G37" s="18" t="n"/>
      <c r="H37" s="18" t="n"/>
      <c r="I37" s="18" t="n"/>
      <c r="J37" s="18" t="n"/>
      <c r="K37" s="18" t="n"/>
      <c r="L37" s="18" t="n"/>
      <c r="M37" s="18" t="n"/>
    </row>
    <row r="38">
      <c r="A38" s="18" t="n"/>
      <c r="B38" s="18" t="n"/>
      <c r="C38" s="19" t="inlineStr">
        <is>
          <t>UAT subtotal</t>
        </is>
      </c>
      <c r="D38" s="18" t="n"/>
      <c r="E38" s="18" t="n"/>
      <c r="F38" s="20">
        <f>SUM(F28:F32)</f>
        <v/>
      </c>
      <c r="G38" s="18" t="n"/>
      <c r="H38" s="18" t="n"/>
      <c r="I38" s="18" t="n"/>
      <c r="J38" s="18" t="n"/>
      <c r="K38" s="18" t="n"/>
      <c r="L38" s="18" t="n"/>
      <c r="M38" s="18" t="n"/>
    </row>
    <row r="39">
      <c r="A39" s="21" t="n"/>
      <c r="B39" s="21" t="n"/>
      <c r="C39" s="21" t="inlineStr">
        <is>
          <t>GRAND TOTAL (hrs)</t>
        </is>
      </c>
      <c r="D39" s="21" t="n"/>
      <c r="E39" s="21" t="n"/>
      <c r="F39" s="22">
        <f>SUM(F2:F32)</f>
        <v/>
      </c>
      <c r="G39" s="21" t="n"/>
      <c r="H39" s="21" t="n"/>
      <c r="I39" s="21" t="n"/>
      <c r="J39" s="21" t="n"/>
      <c r="K39" s="21" t="n"/>
      <c r="L39" s="21" t="n"/>
      <c r="M39" s="21" t="n"/>
    </row>
  </sheetData>
  <conditionalFormatting sqref="G2:G32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"Done"</formula>
    </cfRule>
  </conditionalFormatting>
  <conditionalFormatting sqref="L2:L32">
    <cfRule type="cellIs" priority="5" operator="equal" dxfId="3">
      <formula>"On-Time"</formula>
    </cfRule>
    <cfRule type="cellIs" priority="6" operator="equal" dxfId="2">
      <formula>"Late"</formula>
    </cfRule>
  </conditionalFormatting>
  <conditionalFormatting sqref="H2:H32">
    <cfRule type="dataBar" priority="7">
      <dataBar showValue="1">
        <cfvo type="num" val="0"/>
        <cfvo type="num" val="1"/>
        <color rgb="004472C4"/>
      </dataBar>
    </cfRule>
  </conditionalFormatting>
  <dataValidations count="2">
    <dataValidation sqref="G2:G32" showDropDown="0" showInputMessage="0" showErrorMessage="0" allowBlank="1" type="list">
      <formula1>"Not Started,In Progress,Blocked,Done"</formula1>
    </dataValidation>
    <dataValidation sqref="H2:H32" showDropDown="0" showInputMessage="0" showErrorMessage="0" allowBlank="1" type="list">
      <formula1>"0,0.25,0.5,0.75,1"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14" customWidth="1" min="4" max="4"/>
    <col width="16" customWidth="1" min="5" max="5"/>
    <col width="64" customWidth="1" min="6" max="6"/>
    <col width="14" customWidth="1" min="7" max="7"/>
    <col width="11" customWidth="1" min="8" max="8"/>
  </cols>
  <sheetData>
    <row r="1" ht="30" customHeight="1">
      <c r="A1" s="13" t="inlineStr">
        <is>
          <t>ID</t>
        </is>
      </c>
      <c r="B1" s="13" t="inlineStr">
        <is>
          <t>Milestone</t>
        </is>
      </c>
      <c r="C1" s="13" t="inlineStr">
        <is>
          <t>Target Date</t>
        </is>
      </c>
      <c r="D1" s="13" t="inlineStr">
        <is>
          <t>Status</t>
        </is>
      </c>
      <c r="E1" s="13" t="inlineStr">
        <is>
          <t>Owner</t>
        </is>
      </c>
      <c r="F1" s="13" t="inlineStr">
        <is>
          <t>Acceptance Criteria</t>
        </is>
      </c>
      <c r="G1" s="13" t="inlineStr">
        <is>
          <t>Actual Date</t>
        </is>
      </c>
      <c r="H1" s="13" t="inlineStr">
        <is>
          <t>Slip (days)</t>
        </is>
      </c>
    </row>
    <row r="2" ht="54" customHeight="1">
      <c r="A2" s="23" t="inlineStr">
        <is>
          <t>M1</t>
        </is>
      </c>
      <c r="B2" s="15" t="inlineStr">
        <is>
          <t>Hub engine live + adapters working + Dashboard/Registry on real data</t>
        </is>
      </c>
      <c r="C2" s="17" t="n">
        <v>46171</v>
      </c>
      <c r="D2" s="14" t="inlineStr">
        <is>
          <t>Not Started</t>
        </is>
      </c>
      <c r="E2" s="14" t="inlineStr">
        <is>
          <t>Dev A</t>
        </is>
      </c>
      <c r="F2" s="15" t="inlineStr">
        <is>
          <t>Message flows Inbox-&gt;Bus-&gt;Router-&gt;Outbox; DLQ on forced failure; SP-&gt;PG + SP-&gt;MSSQL write live; Dashboard &amp; Registry show real runs.</t>
        </is>
      </c>
      <c r="G2" s="17" t="n"/>
      <c r="H2" s="14">
        <f>IF(G2="","",NETWORKDAYS(C2,G2)-1)</f>
        <v/>
      </c>
    </row>
    <row r="3" ht="54" customHeight="1">
      <c r="A3" s="23" t="inlineStr">
        <is>
          <t>M2</t>
        </is>
      </c>
      <c r="B3" s="15" t="inlineStr">
        <is>
          <t>Connection Wizard end-to-end + Mapping Canvas with AI auto-map</t>
        </is>
      </c>
      <c r="C3" s="17" t="n">
        <v>46185</v>
      </c>
      <c r="D3" s="14" t="inlineStr">
        <is>
          <t>Not Started</t>
        </is>
      </c>
      <c r="E3" s="14" t="inlineStr">
        <is>
          <t>Dev A</t>
        </is>
      </c>
      <c r="F3" s="15" t="inlineStr">
        <is>
          <t>Operator builds an integration through all 6 steps; AI auto-map suggests with confidence; test-before-publish gate enforced.</t>
        </is>
      </c>
      <c r="G3" s="17" t="n"/>
      <c r="H3" s="14">
        <f>IF(G3="","",NETWORKDAYS(C3,G3)-1)</f>
        <v/>
      </c>
    </row>
    <row r="4" ht="54" customHeight="1">
      <c r="A4" s="23" t="inlineStr">
        <is>
          <t>M3</t>
        </is>
      </c>
      <c r="B4" s="15" t="inlineStr">
        <is>
          <t>Policy-Based Access Control GA + Alerts + Health Dashboard</t>
        </is>
      </c>
      <c r="C4" s="17" t="n">
        <v>46199</v>
      </c>
      <c r="D4" s="14" t="inlineStr">
        <is>
          <t>Not Started</t>
        </is>
      </c>
      <c r="E4" s="14" t="inlineStr">
        <is>
          <t>Dev A</t>
        </is>
      </c>
      <c r="F4" s="15" t="inlineStr">
        <is>
          <t>Company policy -&gt; user subscription -&gt; enforced access level verified across roles; failure alert reaches in-app + email; Health Dashboard live on real metrics.</t>
        </is>
      </c>
      <c r="G4" s="17" t="n"/>
      <c r="H4" s="14">
        <f>IF(G4="","",NETWORKDAYS(C4,G4)-1)</f>
        <v/>
      </c>
    </row>
    <row r="5" ht="54" customHeight="1">
      <c r="A5" s="23" t="inlineStr">
        <is>
          <t>M4</t>
        </is>
      </c>
      <c r="B5" s="15" t="inlineStr">
        <is>
          <t>Feature-complete — all modules integrated, E2E passing</t>
        </is>
      </c>
      <c r="C5" s="17" t="n">
        <v>46213</v>
      </c>
      <c r="D5" s="14" t="inlineStr">
        <is>
          <t>Not Started</t>
        </is>
      </c>
      <c r="E5" s="14" t="inlineStr">
        <is>
          <t>Both</t>
        </is>
      </c>
      <c r="F5" s="15" t="inlineStr">
        <is>
          <t>All Plan modules Done; end-to-end test suite green; no open Sev-1/2 defects.</t>
        </is>
      </c>
      <c r="G5" s="17" t="n"/>
      <c r="H5" s="14">
        <f>IF(G5="","",NETWORKDAYS(C5,G5)-1)</f>
        <v/>
      </c>
    </row>
    <row r="6" ht="54" customHeight="1">
      <c r="A6" s="23" t="inlineStr">
        <is>
          <t>M5</t>
        </is>
      </c>
      <c r="B6" s="15" t="inlineStr">
        <is>
          <t>Code freeze — security/perf cleared, deployed to UAT</t>
        </is>
      </c>
      <c r="C6" s="17" t="n">
        <v>46220</v>
      </c>
      <c r="D6" s="14" t="inlineStr">
        <is>
          <t>Not Started</t>
        </is>
      </c>
      <c r="E6" s="14" t="inlineStr">
        <is>
          <t>Both</t>
        </is>
      </c>
      <c r="F6" s="15" t="inlineStr">
        <is>
          <t>Security review passed (vault + policy enforcement); perf test meets target; build deployed to UAT env with smoke pass + runbook.</t>
        </is>
      </c>
      <c r="G6" s="17" t="n"/>
      <c r="H6" s="14">
        <f>IF(G6="","",NETWORKDAYS(C6,G6)-1)</f>
        <v/>
      </c>
    </row>
    <row r="7" ht="54" customHeight="1">
      <c r="A7" s="23" t="inlineStr">
        <is>
          <t>M6</t>
        </is>
      </c>
      <c r="B7" s="15" t="inlineStr">
        <is>
          <t>UAT signoff &amp; go-live readiness</t>
        </is>
      </c>
      <c r="C7" s="17" t="n">
        <v>46248</v>
      </c>
      <c r="D7" s="14" t="inlineStr">
        <is>
          <t>Not Started</t>
        </is>
      </c>
      <c r="E7" s="14" t="inlineStr">
        <is>
          <t>BA + Stakeholders</t>
        </is>
      </c>
      <c r="F7" s="15" t="inlineStr">
        <is>
          <t>UAT cycles 1-2 complete; all signoff scenarios passed; go-live checklist approved.</t>
        </is>
      </c>
      <c r="G7" s="17" t="n"/>
      <c r="H7" s="14">
        <f>IF(G7="","",NETWORKDAYS(C7,G7)-1)</f>
        <v/>
      </c>
    </row>
  </sheetData>
  <conditionalFormatting sqref="D2:D7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4">
      <formula>"At Risk"</formula>
    </cfRule>
    <cfRule type="cellIs" priority="4" operator="equal" dxfId="3">
      <formula>"Achieved"</formula>
    </cfRule>
    <cfRule type="cellIs" priority="5" operator="equal" dxfId="2">
      <formula>"Missed"</formula>
    </cfRule>
  </conditionalFormatting>
  <dataValidations count="1">
    <dataValidation sqref="D2:D7" showDropDown="0" showInputMessage="0" showErrorMessage="0" allowBlank="1" type="list">
      <formula1>"Not Started,In Progress,At Risk,Achieved,Missed"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58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3" t="inlineStr">
        <is>
          <t>Sprint</t>
        </is>
      </c>
      <c r="B1" s="13" t="inlineStr">
        <is>
          <t>Start</t>
        </is>
      </c>
      <c r="C1" s="13" t="inlineStr">
        <is>
          <t>End</t>
        </is>
      </c>
      <c r="D1" s="13" t="inlineStr">
        <is>
          <t>Goal</t>
        </is>
      </c>
      <c r="E1" s="13" t="inlineStr">
        <is>
          <t>Capacity (h)</t>
        </is>
      </c>
      <c r="F1" s="13" t="inlineStr">
        <is>
          <t>Loaded (h)</t>
        </is>
      </c>
      <c r="G1" s="13" t="inlineStr">
        <is>
          <t>Utilization</t>
        </is>
      </c>
      <c r="H1" s="13" t="inlineStr">
        <is>
          <t>Milestone</t>
        </is>
      </c>
    </row>
    <row r="2" ht="42" customHeight="1">
      <c r="A2" s="23" t="inlineStr">
        <is>
          <t>S1</t>
        </is>
      </c>
      <c r="B2" s="17" t="n">
        <v>46160</v>
      </c>
      <c r="C2" s="17" t="n">
        <v>46171</v>
      </c>
      <c r="D2" s="15" t="inlineStr">
        <is>
          <t>Hub engine + reliability · SP-&gt;MSSQL adapter · Dashboard/Registry wired</t>
        </is>
      </c>
      <c r="E2" s="23" t="n">
        <v>144</v>
      </c>
      <c r="F2" s="24">
        <f>SUMIFS(Plan!F2:F32,Plan!B2:B32,A2)</f>
        <v/>
      </c>
      <c r="G2" s="25">
        <f>IFERROR(F2/E2,0)</f>
        <v/>
      </c>
      <c r="H2" s="14" t="inlineStr">
        <is>
          <t>M1</t>
        </is>
      </c>
    </row>
    <row r="3" ht="42" customHeight="1">
      <c r="A3" s="23" t="inlineStr">
        <is>
          <t>S2</t>
        </is>
      </c>
      <c r="B3" s="17" t="n">
        <v>46174</v>
      </c>
      <c r="C3" s="17" t="n">
        <v>46185</v>
      </c>
      <c r="D3" s="15" t="inlineStr">
        <is>
          <t>Connection Wizard · Mapping Canvas + AI auto-map · Policy model · Vault</t>
        </is>
      </c>
      <c r="E3" s="23" t="n">
        <v>144</v>
      </c>
      <c r="F3" s="24">
        <f>SUMIFS(Plan!F2:F32,Plan!B2:B32,A3)</f>
        <v/>
      </c>
      <c r="G3" s="25">
        <f>IFERROR(F3/E3,0)</f>
        <v/>
      </c>
      <c r="H3" s="14" t="inlineStr">
        <is>
          <t>M2</t>
        </is>
      </c>
    </row>
    <row r="4" ht="42" customHeight="1">
      <c r="A4" s="23" t="inlineStr">
        <is>
          <t>S3</t>
        </is>
      </c>
      <c r="B4" s="17" t="n">
        <v>46188</v>
      </c>
      <c r="C4" s="17" t="n">
        <v>46199</v>
      </c>
      <c r="D4" s="15" t="inlineStr">
        <is>
          <t>Policy enforcement + admin UI · Connector Studio · Alerts · Health Dashboard · Audit</t>
        </is>
      </c>
      <c r="E4" s="23" t="n">
        <v>144</v>
      </c>
      <c r="F4" s="24">
        <f>SUMIFS(Plan!F2:F32,Plan!B2:B32,A4)</f>
        <v/>
      </c>
      <c r="G4" s="25">
        <f>IFERROR(F4/E4,0)</f>
        <v/>
      </c>
      <c r="H4" s="14" t="inlineStr">
        <is>
          <t>M3</t>
        </is>
      </c>
    </row>
    <row r="5" ht="42" customHeight="1">
      <c r="A5" s="23" t="inlineStr">
        <is>
          <t>S4</t>
        </is>
      </c>
      <c r="B5" s="17" t="n">
        <v>46202</v>
      </c>
      <c r="C5" s="17" t="n">
        <v>46213</v>
      </c>
      <c r="D5" s="15" t="inlineStr">
        <is>
          <t>Trading Monitor · Entity Catalog · Multi-tenancy · Scheduler · E2E bug bash</t>
        </is>
      </c>
      <c r="E5" s="23" t="n">
        <v>144</v>
      </c>
      <c r="F5" s="24">
        <f>SUMIFS(Plan!F2:F32,Plan!B2:B32,A5)</f>
        <v/>
      </c>
      <c r="G5" s="25">
        <f>IFERROR(F5/E5,0)</f>
        <v/>
      </c>
      <c r="H5" s="14" t="inlineStr">
        <is>
          <t>M4</t>
        </is>
      </c>
    </row>
    <row r="6" ht="42" customHeight="1">
      <c r="A6" s="23" t="inlineStr">
        <is>
          <t>Stab</t>
        </is>
      </c>
      <c r="B6" s="17" t="n">
        <v>46216</v>
      </c>
      <c r="C6" s="17" t="n">
        <v>46220</v>
      </c>
      <c r="D6" s="15" t="inlineStr">
        <is>
          <t>Security + perf review · regression · deploy to UAT (code freeze)</t>
        </is>
      </c>
      <c r="E6" s="23" t="n">
        <v>72</v>
      </c>
      <c r="F6" s="24">
        <f>SUMIFS(Plan!F2:F32,Plan!B2:B32,A6)</f>
        <v/>
      </c>
      <c r="G6" s="25">
        <f>IFERROR(F6/E6,0)</f>
        <v/>
      </c>
      <c r="H6" s="14" t="inlineStr">
        <is>
          <t>M5</t>
        </is>
      </c>
    </row>
    <row r="7" ht="42" customHeight="1">
      <c r="A7" s="23" t="inlineStr">
        <is>
          <t>UAT</t>
        </is>
      </c>
      <c r="B7" s="17" t="n">
        <v>46223</v>
      </c>
      <c r="C7" s="17" t="n">
        <v>46248</v>
      </c>
      <c r="D7" s="15" t="inlineStr">
        <is>
          <t>UAT cycles 1-2 · defect fixing · signoff · go-live readiness</t>
        </is>
      </c>
      <c r="E7" s="23" t="n">
        <v>240</v>
      </c>
      <c r="F7" s="24">
        <f>SUMIFS(Plan!F2:F32,Plan!B2:B32,A7)</f>
        <v/>
      </c>
      <c r="G7" s="25">
        <f>IFERROR(F7/E7,0)</f>
        <v/>
      </c>
      <c r="H7" s="14" t="inlineStr">
        <is>
          <t>M6</t>
        </is>
      </c>
    </row>
    <row r="9">
      <c r="A9" s="12" t="inlineStr">
        <is>
          <t>Capacity: 2 devs × ~36 productive h/week (Vibecoding) = 144 h per 2-week sprint. Stab = 1 week. UAT capacity blends devs + QA + stakeholders.</t>
        </is>
      </c>
    </row>
  </sheetData>
  <mergeCells count="1">
    <mergeCell ref="A9:H9"/>
  </mergeCells>
  <conditionalFormatting sqref="G2:G7">
    <cfRule type="cellIs" priority="1" operator="greaterThan" dxfId="2">
      <formula>1</formula>
    </cfRule>
    <cfRule type="cellIs" priority="2" operator="between" dxfId="4">
      <formula>0.9</formula>
      <formula>1</formula>
    </cfRule>
    <cfRule type="cellIs" priority="3" operator="lessThan" dxfId="3">
      <formula>0.9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2" customWidth="1" min="3" max="3"/>
    <col width="12" customWidth="1" min="4" max="4"/>
    <col width="10" customWidth="1" min="5" max="5"/>
    <col width="56" customWidth="1" min="6" max="6"/>
    <col width="12" customWidth="1" min="7" max="7"/>
    <col width="13" customWidth="1" min="8" max="8"/>
    <col width="12" customWidth="1" min="9" max="9"/>
  </cols>
  <sheetData>
    <row r="1" ht="30" customHeight="1">
      <c r="A1" s="13" t="inlineStr">
        <is>
          <t>ID</t>
        </is>
      </c>
      <c r="B1" s="13" t="inlineStr">
        <is>
          <t>Type</t>
        </is>
      </c>
      <c r="C1" s="13" t="inlineStr">
        <is>
          <t>Item</t>
        </is>
      </c>
      <c r="D1" s="13" t="inlineStr">
        <is>
          <t>Likelihood</t>
        </is>
      </c>
      <c r="E1" s="13" t="inlineStr">
        <is>
          <t>Impact</t>
        </is>
      </c>
      <c r="F1" s="13" t="inlineStr">
        <is>
          <t>Mitigation / Action</t>
        </is>
      </c>
      <c r="G1" s="13" t="inlineStr">
        <is>
          <t>Owner</t>
        </is>
      </c>
      <c r="H1" s="13" t="inlineStr">
        <is>
          <t>Due</t>
        </is>
      </c>
      <c r="I1" s="13" t="inlineStr">
        <is>
          <t>Status</t>
        </is>
      </c>
    </row>
    <row r="2" ht="44" customHeight="1">
      <c r="A2" s="23" t="inlineStr">
        <is>
          <t>R1</t>
        </is>
      </c>
      <c r="B2" s="14" t="inlineStr">
        <is>
          <t>Risk</t>
        </is>
      </c>
      <c r="C2" s="15" t="inlineStr">
        <is>
          <t>Two-month window is aggressive; any module slip cascades</t>
        </is>
      </c>
      <c r="D2" s="14" t="inlineStr">
        <is>
          <t>H</t>
        </is>
      </c>
      <c r="E2" s="14" t="inlineStr">
        <is>
          <t>H</t>
        </is>
      </c>
      <c r="F2" s="15" t="inlineStr">
        <is>
          <t>Weekly burn-down vs Sprint capacity; cut Catalog/Studio to 'basic' first if behind; protect Policy module + adapters.</t>
        </is>
      </c>
      <c r="G2" s="14" t="inlineStr">
        <is>
          <t>Kiran</t>
        </is>
      </c>
      <c r="H2" s="17" t="n">
        <v>46171</v>
      </c>
      <c r="I2" s="14" t="inlineStr">
        <is>
          <t>Open</t>
        </is>
      </c>
    </row>
    <row r="3" ht="44" customHeight="1">
      <c r="A3" s="23" t="inlineStr">
        <is>
          <t>R2</t>
        </is>
      </c>
      <c r="B3" s="14" t="inlineStr">
        <is>
          <t>Risk</t>
        </is>
      </c>
      <c r="C3" s="15" t="inlineStr">
        <is>
          <t>Policy-Based Access is new and security-sensitive</t>
        </is>
      </c>
      <c r="D3" s="14" t="inlineStr">
        <is>
          <t>M</t>
        </is>
      </c>
      <c r="E3" s="14" t="inlineStr">
        <is>
          <t>H</t>
        </is>
      </c>
      <c r="F3" s="15" t="inlineStr">
        <is>
          <t>Spike the policy model in S2 before enforcement in S3; security review at Stab; least-privilege defaults.</t>
        </is>
      </c>
      <c r="G3" s="14" t="inlineStr">
        <is>
          <t>Dev A</t>
        </is>
      </c>
      <c r="H3" s="17" t="n">
        <v>46185</v>
      </c>
      <c r="I3" s="14" t="inlineStr">
        <is>
          <t>Open</t>
        </is>
      </c>
    </row>
    <row r="4" ht="44" customHeight="1">
      <c r="A4" s="23" t="inlineStr">
        <is>
          <t>R3</t>
        </is>
      </c>
      <c r="B4" s="14" t="inlineStr">
        <is>
          <t>Risk</t>
        </is>
      </c>
      <c r="C4" s="15" t="inlineStr">
        <is>
          <t>Vibecoding velocity assumption (144h/sprint) may not hold for hub internals</t>
        </is>
      </c>
      <c r="D4" s="14" t="inlineStr">
        <is>
          <t>M</t>
        </is>
      </c>
      <c r="E4" s="14" t="inlineStr">
        <is>
          <t>M</t>
        </is>
      </c>
      <c r="F4" s="15" t="inlineStr">
        <is>
          <t>Track actual vs planned each sprint; rebaseline after S1; keep S4 light as buffer.</t>
        </is>
      </c>
      <c r="G4" s="14" t="inlineStr">
        <is>
          <t>Kiran</t>
        </is>
      </c>
      <c r="H4" s="17" t="n">
        <v>46171</v>
      </c>
      <c r="I4" s="14" t="inlineStr">
        <is>
          <t>Open</t>
        </is>
      </c>
    </row>
    <row r="5" ht="44" customHeight="1">
      <c r="A5" s="23" t="inlineStr">
        <is>
          <t>R4</t>
        </is>
      </c>
      <c r="B5" s="14" t="inlineStr">
        <is>
          <t>Risk</t>
        </is>
      </c>
      <c r="C5" s="15" t="inlineStr">
        <is>
          <t>Frontend mock-&gt;real swap surfaces API contract gaps</t>
        </is>
      </c>
      <c r="D5" s="14" t="inlineStr">
        <is>
          <t>M</t>
        </is>
      </c>
      <c r="E5" s="14" t="inlineStr">
        <is>
          <t>M</t>
        </is>
      </c>
      <c r="F5" s="15" t="inlineStr">
        <is>
          <t>Generate TS types from backend DTOs; wire one screen end-to-end in S1 as the pattern.</t>
        </is>
      </c>
      <c r="G5" s="14" t="inlineStr">
        <is>
          <t>Dev B</t>
        </is>
      </c>
      <c r="H5" s="17" t="n">
        <v>46171</v>
      </c>
      <c r="I5" s="14" t="inlineStr">
        <is>
          <t>Open</t>
        </is>
      </c>
    </row>
    <row r="6" ht="44" customHeight="1">
      <c r="A6" s="23" t="inlineStr">
        <is>
          <t>R5</t>
        </is>
      </c>
      <c r="B6" s="14" t="inlineStr">
        <is>
          <t>Risk</t>
        </is>
      </c>
      <c r="C6" s="15" t="inlineStr">
        <is>
          <t>Playwright/MFA adapters fragile to client config</t>
        </is>
      </c>
      <c r="D6" s="14" t="inlineStr">
        <is>
          <t>M</t>
        </is>
      </c>
      <c r="E6" s="14" t="inlineStr">
        <is>
          <t>M</t>
        </is>
      </c>
      <c r="F6" s="15" t="inlineStr">
        <is>
          <t>Smoke each adapter after deploy; session persistence + re-login fallback.</t>
        </is>
      </c>
      <c r="G6" s="14" t="inlineStr">
        <is>
          <t>Dev B</t>
        </is>
      </c>
      <c r="H6" s="17" t="n">
        <v>46220</v>
      </c>
      <c r="I6" s="14" t="inlineStr">
        <is>
          <t>Open</t>
        </is>
      </c>
    </row>
    <row r="7" ht="44" customHeight="1">
      <c r="A7" s="23" t="inlineStr">
        <is>
          <t>R6</t>
        </is>
      </c>
      <c r="B7" s="14" t="inlineStr">
        <is>
          <t>Risk</t>
        </is>
      </c>
      <c r="C7" s="15" t="inlineStr">
        <is>
          <t>UAT defects exceed 1-month fix capacity</t>
        </is>
      </c>
      <c r="D7" s="14" t="inlineStr">
        <is>
          <t>M</t>
        </is>
      </c>
      <c r="E7" s="14" t="inlineStr">
        <is>
          <t>H</t>
        </is>
      </c>
      <c r="F7" s="15" t="inlineStr">
        <is>
          <t>Bug-bash in S4 before freeze; both devs reserved for UAT defect fixing; triage Sev-1/2 only for go-live.</t>
        </is>
      </c>
      <c r="G7" s="14" t="inlineStr">
        <is>
          <t>Both</t>
        </is>
      </c>
      <c r="H7" s="17" t="n">
        <v>46241</v>
      </c>
      <c r="I7" s="14" t="inlineStr">
        <is>
          <t>Open</t>
        </is>
      </c>
    </row>
    <row r="8" ht="44" customHeight="1">
      <c r="A8" s="23" t="inlineStr">
        <is>
          <t>D1</t>
        </is>
      </c>
      <c r="B8" s="14" t="inlineStr">
        <is>
          <t>Decision</t>
        </is>
      </c>
      <c r="C8" s="15" t="inlineStr">
        <is>
          <t>AI provider for auto-mapping (Claude / OpenAI / local)</t>
        </is>
      </c>
      <c r="D8" s="14" t="inlineStr">
        <is>
          <t>—</t>
        </is>
      </c>
      <c r="E8" s="14" t="inlineStr">
        <is>
          <t>M</t>
        </is>
      </c>
      <c r="F8" s="15" t="inlineStr">
        <is>
          <t>Default Claude API; confirm by S2 start on cost × accuracy.</t>
        </is>
      </c>
      <c r="G8" s="14" t="inlineStr">
        <is>
          <t>Dev B</t>
        </is>
      </c>
      <c r="H8" s="17" t="n">
        <v>46174</v>
      </c>
      <c r="I8" s="14" t="inlineStr">
        <is>
          <t>Open</t>
        </is>
      </c>
    </row>
    <row r="9" ht="44" customHeight="1">
      <c r="A9" s="23" t="inlineStr">
        <is>
          <t>D2</t>
        </is>
      </c>
      <c r="B9" s="14" t="inlineStr">
        <is>
          <t>Decision</t>
        </is>
      </c>
      <c r="C9" s="15" t="inlineStr">
        <is>
          <t>Policy model — RBAC roles vs full ABAC (attribute) policies</t>
        </is>
      </c>
      <c r="D9" s="14" t="inlineStr">
        <is>
          <t>—</t>
        </is>
      </c>
      <c r="E9" s="14" t="inlineStr">
        <is>
          <t>H</t>
        </is>
      </c>
      <c r="F9" s="15" t="inlineStr">
        <is>
          <t>Recommend policy = named permission-set users subscribe to (RBAC+scope). Confirm S2.</t>
        </is>
      </c>
      <c r="G9" s="14" t="inlineStr">
        <is>
          <t>Kiran</t>
        </is>
      </c>
      <c r="H9" s="17" t="n">
        <v>46174</v>
      </c>
      <c r="I9" s="14" t="inlineStr">
        <is>
          <t>Open</t>
        </is>
      </c>
    </row>
    <row r="10" ht="44" customHeight="1">
      <c r="A10" s="23" t="inlineStr">
        <is>
          <t>D3</t>
        </is>
      </c>
      <c r="B10" s="14" t="inlineStr">
        <is>
          <t>Decision</t>
        </is>
      </c>
      <c r="C10" s="15" t="inlineStr">
        <is>
          <t>UAT environment host — local box / VM / cloud</t>
        </is>
      </c>
      <c r="D10" s="14" t="inlineStr">
        <is>
          <t>—</t>
        </is>
      </c>
      <c r="E10" s="14" t="inlineStr">
        <is>
          <t>M</t>
        </is>
      </c>
      <c r="F10" s="15" t="inlineStr">
        <is>
          <t>Pick by S3 so Stab deploy is ready. Default: in-office VM + Docker.</t>
        </is>
      </c>
      <c r="G10" s="14" t="inlineStr">
        <is>
          <t>Dev A</t>
        </is>
      </c>
      <c r="H10" s="17" t="n">
        <v>46188</v>
      </c>
      <c r="I10" s="14" t="inlineStr">
        <is>
          <t>Open</t>
        </is>
      </c>
    </row>
    <row r="11" ht="44" customHeight="1">
      <c r="A11" s="23" t="inlineStr">
        <is>
          <t>D4</t>
        </is>
      </c>
      <c r="B11" s="14" t="inlineStr">
        <is>
          <t>Decision</t>
        </is>
      </c>
      <c r="C11" s="15" t="inlineStr">
        <is>
          <t>Next adapters after MSSQL (priority order)</t>
        </is>
      </c>
      <c r="D11" s="14" t="inlineStr">
        <is>
          <t>—</t>
        </is>
      </c>
      <c r="E11" s="14" t="inlineStr">
        <is>
          <t>M</t>
        </is>
      </c>
      <c r="F11" s="15" t="inlineStr">
        <is>
          <t>Confirm with stakeholders by M1 demo.</t>
        </is>
      </c>
      <c r="G11" s="14" t="inlineStr">
        <is>
          <t>Kiran</t>
        </is>
      </c>
      <c r="H11" s="17" t="n">
        <v>46171</v>
      </c>
      <c r="I11" s="14" t="inlineStr">
        <is>
          <t>Open</t>
        </is>
      </c>
    </row>
  </sheetData>
  <conditionalFormatting sqref="I2:I11">
    <cfRule type="cellIs" priority="1" operator="equal" dxfId="4">
      <formula>"Open"</formula>
    </cfRule>
    <cfRule type="cellIs" priority="2" operator="equal" dxfId="1">
      <formula>"Mitigating"</formula>
    </cfRule>
    <cfRule type="cellIs" priority="3" operator="equal" dxfId="3">
      <formula>"Closed"</formula>
    </cfRule>
    <cfRule type="cellIs" priority="4" operator="equal" dxfId="2">
      <formula>"Escalated"</formula>
    </cfRule>
  </conditionalFormatting>
  <conditionalFormatting sqref="E2:E11">
    <cfRule type="cellIs" priority="5" operator="equal" dxfId="4">
      <formula>"H"</formula>
    </cfRule>
  </conditionalFormatting>
  <dataValidations count="2">
    <dataValidation sqref="B2:B11" showDropDown="0" showInputMessage="0" showErrorMessage="0" allowBlank="1" type="list">
      <formula1>"Risk,Decision,Issue"</formula1>
    </dataValidation>
    <dataValidation sqref="I2:I11" showDropDown="0" showInputMessage="0" showErrorMessage="0" allowBlank="1" type="list">
      <formula1>"Open,Mitigating,Closed,Escalated"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2026-06-03T09:18:51Z</dcterms:created>
  <dcterms:modified xsi:type="dcterms:W3CDTF">2026-06-03T09:18:51Z</dcterms:modified>
</cp:coreProperties>
</file>