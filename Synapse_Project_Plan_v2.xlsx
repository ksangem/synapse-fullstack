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Effort Summary" sheetId="4" state="visible" r:id="rId4"/>
    <sheet xmlns:r="http://schemas.openxmlformats.org/officeDocument/2006/relationships" name="Sprint Plan" sheetId="5" state="visible" r:id="rId5"/>
    <sheet xmlns:r="http://schemas.openxmlformats.org/officeDocument/2006/relationships" name="Risks &amp; Open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#,##0.0"/>
    <numFmt numFmtId="167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B2A5B"/>
      <sz val="20"/>
    </font>
    <font>
      <name val="Calibri"/>
      <b val="1"/>
      <color rgb="00455A64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color rgb="00455A64"/>
      <sz val="9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E8ECF5"/>
      </patternFill>
    </fill>
    <fill>
      <patternFill patternType="solid">
        <fgColor rgb="0078909C"/>
      </patternFill>
    </fill>
    <fill>
      <patternFill patternType="solid">
        <fgColor rgb="001565C0"/>
      </patternFill>
    </fill>
    <fill>
      <patternFill patternType="solid">
        <fgColor rgb="00C62828"/>
      </patternFill>
    </fill>
    <fill>
      <patternFill patternType="solid">
        <fgColor rgb="002E7D32"/>
      </patternFill>
    </fill>
    <fill>
      <patternFill patternType="solid">
        <fgColor rgb="00455A64"/>
      </patternFill>
    </fill>
    <fill>
      <patternFill patternType="solid">
        <fgColor rgb="00FFF2CC"/>
      </patternFill>
    </fill>
    <fill>
      <patternFill patternType="solid">
        <fgColor rgb="001B2A5B"/>
      </patternFill>
    </fill>
    <fill>
      <patternFill patternType="solid">
        <fgColor rgb="00D7DCEA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2" fontId="3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0" borderId="1" pivotButton="0" quotePrefix="0" xfId="0"/>
    <xf numFmtId="3" fontId="3" fillId="10" borderId="1" pivotButton="0" quotePrefix="0" xfId="0"/>
    <xf numFmtId="166" fontId="3" fillId="10" borderId="1" pivotButton="0" quotePrefix="0" xfId="0"/>
    <xf numFmtId="0" fontId="7" fillId="9" borderId="1" pivotButton="0" quotePrefix="0" xfId="0"/>
    <xf numFmtId="3" fontId="7" fillId="9" borderId="1" pivotButton="0" quotePrefix="0" xfId="0"/>
    <xf numFmtId="166" fontId="7" fillId="9" borderId="1" pivotButton="0" quotePrefix="0" xfId="0"/>
    <xf numFmtId="0" fontId="3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166" fontId="7" fillId="9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ont>
        <b val="1"/>
        <color rgb="00FFFFFF"/>
        <sz val="10"/>
      </font>
      <fill>
        <patternFill patternType="solid">
          <fgColor rgb="0078909C"/>
        </patternFill>
      </fill>
    </dxf>
    <dxf>
      <font>
        <b val="1"/>
        <color rgb="00FFFFFF"/>
        <sz val="10"/>
      </font>
      <fill>
        <patternFill patternType="solid">
          <fgColor rgb="001565C0"/>
        </patternFill>
      </fill>
    </dxf>
    <dxf>
      <font>
        <b val="1"/>
        <color rgb="00FFFFFF"/>
        <sz val="10"/>
      </font>
      <fill>
        <patternFill patternType="solid">
          <fgColor rgb="00C62828"/>
        </patternFill>
      </fill>
    </dxf>
    <dxf>
      <font>
        <b val="1"/>
        <color rgb="00FFFFFF"/>
        <sz val="10"/>
      </font>
      <fill>
        <patternFill patternType="solid">
          <fgColor rgb="002E7D32"/>
        </patternFill>
      </fill>
    </dxf>
    <dxf>
      <font>
        <b val="1"/>
        <color rgb="00FFFFFF"/>
        <sz val="10"/>
      </font>
      <fill>
        <patternFill patternType="solid">
          <fgColor rgb="00455A64"/>
        </patternFill>
      </fill>
    </dxf>
    <dxf>
      <font>
        <b val="1"/>
        <color rgb="00FFFFFF"/>
        <sz val="10"/>
      </font>
      <fill>
        <patternFill patternType="solid">
          <fgColor rgb="00F9A825"/>
        </patternFill>
      </fill>
    </dxf>
    <dxf>
      <font>
        <b val="1"/>
        <color rgb="00FFFFFF"/>
        <sz val="10"/>
      </font>
      <fill>
        <patternFill patternType="solid">
          <fgColor rgb="009C27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90" customWidth="1" min="3" max="3"/>
  </cols>
  <sheetData>
    <row r="2">
      <c r="B2" s="1" t="inlineStr">
        <is>
          <t>Synapse / XnHub Integration Platform</t>
        </is>
      </c>
    </row>
    <row r="3">
      <c r="B3" s="2" t="inlineStr">
        <is>
          <t>Project Plan v2  ·  WBS · Milestones · Effort · Sprints · Risks</t>
        </is>
      </c>
    </row>
    <row r="5">
      <c r="B5" s="3" t="inlineStr">
        <is>
          <t>Generated</t>
        </is>
      </c>
      <c r="C5" s="4" t="inlineStr">
        <is>
          <t>2026-05-19</t>
        </is>
      </c>
    </row>
    <row r="6">
      <c r="B6" s="3" t="inlineStr">
        <is>
          <t>Owner</t>
        </is>
      </c>
      <c r="C6" s="4" t="inlineStr">
        <is>
          <t>Kiran Suvarna (Nalashaa)</t>
        </is>
      </c>
    </row>
    <row r="7">
      <c r="B7" s="3" t="inlineStr">
        <is>
          <t>Client / Audience</t>
        </is>
      </c>
      <c r="C7" s="4" t="inlineStr">
        <is>
          <t>Internal — Nalashaa Org-Level Integration Platform</t>
        </is>
      </c>
    </row>
    <row r="8">
      <c r="B8" s="3" t="inlineStr">
        <is>
          <t>Code path</t>
        </is>
      </c>
      <c r="C8" s="4" t="inlineStr">
        <is>
          <t>D:\Nalashaa_Work\AI_Work\synapse-fullstack</t>
        </is>
      </c>
    </row>
    <row r="9">
      <c r="B9" s="3" t="inlineStr">
        <is>
          <t>Source docs</t>
        </is>
      </c>
      <c r="C9" s="4" t="inlineStr">
        <is>
          <t>Synapse Architecture v4 · Synapse LLD · Developer Handbook · XnHub Product Charter v2</t>
        </is>
      </c>
    </row>
    <row r="10">
      <c r="B10" s="3" t="inlineStr">
        <is>
          <t>Plan version</t>
        </is>
      </c>
      <c r="C10" s="4" t="inlineStr">
        <is>
          <t>v2.0</t>
        </is>
      </c>
    </row>
    <row r="12">
      <c r="B12" s="5" t="inlineStr">
        <is>
          <t>Assumptions (redirect any of these and the plan recalculates)</t>
        </is>
      </c>
    </row>
    <row r="13" ht="32" customHeight="1">
      <c r="B13" s="6" t="inlineStr">
        <is>
          <t>▸ Backend stack</t>
        </is>
      </c>
      <c r="C13" s="7" t="inlineStr">
        <is>
          <t>.NET 8 (matches Architecture / LLD / Handbook verbatim). Python (FastAPI + Celery) is the documented alternative — swap the BE owner-role tasks if changed.</t>
        </is>
      </c>
    </row>
    <row r="14" ht="32" customHeight="1">
      <c r="B14" s="6" t="inlineStr">
        <is>
          <t>▸ Scope</t>
        </is>
      </c>
      <c r="C14" s="7" t="inlineStr">
        <is>
          <t>MVP (Phase 1) + Phase 2 (Intelligence &amp; Monitoring) from XnHub Charter §8. Phase 3 / 4 tracked as roadmap only.</t>
        </is>
      </c>
    </row>
    <row r="15" ht="32" customHeight="1">
      <c r="B15" s="6" t="inlineStr">
        <is>
          <t>▸ Vibecoding multiplier</t>
        </is>
      </c>
      <c r="C15" s="7" t="inlineStr">
        <is>
          <t>0.5x of traditional hand-coded estimate. Vibe Hours column = Trad Hours × 0.5. Change cell B3 on the WBS tab to re-flow the entire plan.</t>
        </is>
      </c>
    </row>
    <row r="16" ht="32" customHeight="1">
      <c r="B16" s="6" t="inlineStr">
        <is>
          <t>▸ Team</t>
        </is>
      </c>
      <c r="C16" s="7" t="inlineStr">
        <is>
          <t>1 BA · 1 FE Dev · 1 BE Dev · 1 QA · 0.25 DevOps. Capacity baseline: 160 hrs/person/month (8 hrs × 20 working days).</t>
        </is>
      </c>
    </row>
    <row r="17" ht="32" customHeight="1">
      <c r="B17" s="6" t="inlineStr">
        <is>
          <t>▸ Cadence</t>
        </is>
      </c>
      <c r="C17" s="7" t="inlineStr">
        <is>
          <t>10 sprints of 2 weeks. Sprint 0 starts Mon 2026-05-25. Phase 2 UAT signoff target Fri 2026-11-13.</t>
        </is>
      </c>
    </row>
    <row r="18" ht="32" customHeight="1">
      <c r="B18" s="6" t="inlineStr">
        <is>
          <t>▸ Frontend</t>
        </is>
      </c>
      <c r="C18" s="7" t="inlineStr">
        <is>
          <t>React 19 + Vite at packages/frontend is KEPT AS-IS. Backend rewrite only. UI work = wire mocks → real API + new Login/Studio backend.</t>
        </is>
      </c>
    </row>
    <row r="20">
      <c r="B20" s="5" t="inlineStr">
        <is>
          <t>Existing codebase audit (PRODUCT_STATUS.md, 2026-04-22)</t>
        </is>
      </c>
    </row>
    <row r="21" ht="36" customHeight="1">
      <c r="B21" s="6" t="inlineStr">
        <is>
          <t>▸ Frontend (React 19 + Vite)</t>
        </is>
      </c>
      <c r="C21" s="7" t="inlineStr">
        <is>
          <t>13 pages — all COMPLETE on UI. All use MOCK DATA except Wizard Step 2 (real API). Login screen NOT BUILT.</t>
        </is>
      </c>
    </row>
    <row r="22" ht="36" customHeight="1">
      <c r="B22" s="6" t="inlineStr">
        <is>
          <t>▸ Backend (Node/Express)</t>
        </is>
      </c>
      <c r="C22" s="7" t="inlineStr">
        <is>
          <t>FULLY BUILT: Jira (Red Gold REST + Flatiron Playwright/MFA), SharePoint Push (Graph API), 35-field mapper, AES-256-GCM vault, Scheduler (BullMQ), Sync delta, Run mgmt.</t>
        </is>
      </c>
    </row>
    <row r="23" ht="36" customHeight="1">
      <c r="B23" s="6" t="inlineStr">
        <is>
          <t>▸ Backend gaps</t>
        </is>
      </c>
      <c r="C23" s="7" t="inlineStr">
        <is>
          <t>NOT BUILT: Auth/JWT, Multi-tenancy enforcement, Alerts dispatch, Audit logging, Connector Studio backend, AI auto-map, Trading Console drill-down, Master Entity Catalog.</t>
        </is>
      </c>
    </row>
    <row r="24" ht="36" customHeight="1">
      <c r="B24" s="6" t="inlineStr">
        <is>
          <t>▸ Migration approach</t>
        </is>
      </c>
      <c r="C24" s="7" t="inlineStr">
        <is>
          <t>Port FULLY BUILT modules first (Sprints 1-3) → reach parity with Node version (M2) → then build NOT BUILT modules on top of new .NET hub.</t>
        </is>
      </c>
    </row>
    <row r="26">
      <c r="B26" s="5" t="inlineStr">
        <is>
          <t>Tab guide</t>
        </is>
      </c>
    </row>
    <row r="27">
      <c r="B27" s="6" t="inlineStr">
        <is>
          <t>WBS</t>
        </is>
      </c>
      <c r="C27" s="7" t="inlineStr">
        <is>
          <t>Every task. Update Status, % Complete, and Delivered Date per task. On-Time and Days Slip auto-calculate.</t>
        </is>
      </c>
    </row>
    <row r="28">
      <c r="B28" s="6" t="inlineStr">
        <is>
          <t>Milestones</t>
        </is>
      </c>
      <c r="C28" s="7" t="inlineStr">
        <is>
          <t>10 milestones (M0–M9) with target dates. Update Actual Date when achieved; Slip Days auto-calculates.</t>
        </is>
      </c>
    </row>
    <row r="29">
      <c r="B29" s="6" t="inlineStr">
        <is>
          <t>Effort Summary</t>
        </is>
      </c>
      <c r="C29" s="7" t="inlineStr">
        <is>
          <t>Live pivot of hours by Phase × Role. Reads directly from WBS — never edit cells here, edit WBS.</t>
        </is>
      </c>
    </row>
    <row r="30">
      <c r="B30" s="6" t="inlineStr">
        <is>
          <t>Sprint Plan</t>
        </is>
      </c>
      <c r="C30" s="7" t="inlineStr">
        <is>
          <t>10 sprints with goals, demo items, capacity, and loaded utilization. Loaded Hours and Utilization auto-calculate.</t>
        </is>
      </c>
    </row>
    <row r="31">
      <c r="B31" s="6" t="inlineStr">
        <is>
          <t>Risks &amp; Open</t>
        </is>
      </c>
      <c r="C31" s="7" t="inlineStr">
        <is>
          <t>Charter §11 risks + .NET migration risks + 3 open decisions. Update Status as items close.</t>
        </is>
      </c>
    </row>
    <row r="33">
      <c r="B33" s="5" t="inlineStr">
        <is>
          <t>Status legend (matches WBS conditional formatting)</t>
        </is>
      </c>
    </row>
    <row r="34">
      <c r="B34" s="8" t="inlineStr">
        <is>
          <t>Not Started</t>
        </is>
      </c>
    </row>
    <row r="35">
      <c r="B35" s="9" t="inlineStr">
        <is>
          <t>In Progress</t>
        </is>
      </c>
    </row>
    <row r="36">
      <c r="B36" s="10" t="inlineStr">
        <is>
          <t>Blocked</t>
        </is>
      </c>
    </row>
    <row r="37">
      <c r="B37" s="11" t="inlineStr">
        <is>
          <t>Done</t>
        </is>
      </c>
    </row>
    <row r="38">
      <c r="B38" s="12" t="inlineStr">
        <is>
          <t>Cancelled</t>
        </is>
      </c>
    </row>
  </sheetData>
  <mergeCells count="6">
    <mergeCell ref="B2:C2"/>
    <mergeCell ref="B33:C33"/>
    <mergeCell ref="B3:C3"/>
    <mergeCell ref="B20:C20"/>
    <mergeCell ref="B26:C26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60" customWidth="1" min="4" max="4"/>
    <col width="12" customWidth="1" min="5" max="5"/>
    <col width="12" customWidth="1" min="6" max="6"/>
    <col width="12" customWidth="1" min="7" max="7"/>
    <col width="9" customWidth="1" min="8" max="8"/>
    <col width="13" customWidth="1" min="9" max="9"/>
    <col width="12" customWidth="1" min="10" max="10"/>
    <col width="13" customWidth="1" min="11" max="11"/>
    <col width="13" customWidth="1" min="12" max="12"/>
    <col width="14" customWidth="1" min="13" max="13"/>
    <col width="12" customWidth="1" min="14" max="14"/>
    <col width="11" customWidth="1" min="15" max="15"/>
    <col width="50" customWidth="1" min="16" max="16"/>
  </cols>
  <sheetData>
    <row r="1">
      <c r="A1" s="13" t="inlineStr">
        <is>
          <t>Vibe multiplier:</t>
        </is>
      </c>
      <c r="B1" s="14" t="n">
        <v>0.5</v>
      </c>
      <c r="C1" s="15" t="inlineStr">
        <is>
          <t>← change this cell to re-flow all Vibe Hours</t>
        </is>
      </c>
    </row>
    <row r="3" ht="32" customHeight="1">
      <c r="A3" s="16" t="inlineStr">
        <is>
          <t>WBS ID</t>
        </is>
      </c>
      <c r="B3" s="16" t="inlineStr">
        <is>
          <t>Phase</t>
        </is>
      </c>
      <c r="C3" s="16" t="inlineStr">
        <is>
          <t>Workstream</t>
        </is>
      </c>
      <c r="D3" s="16" t="inlineStr">
        <is>
          <t>Task</t>
        </is>
      </c>
      <c r="E3" s="16" t="inlineStr">
        <is>
          <t>Owner Role</t>
        </is>
      </c>
      <c r="F3" s="16" t="inlineStr">
        <is>
          <t>Trad Hours</t>
        </is>
      </c>
      <c r="G3" s="16" t="inlineStr">
        <is>
          <t>Vibe Hours</t>
        </is>
      </c>
      <c r="H3" s="16" t="inlineStr">
        <is>
          <t>Sprint</t>
        </is>
      </c>
      <c r="I3" s="16" t="inlineStr">
        <is>
          <t>Status</t>
        </is>
      </c>
      <c r="J3" s="16" t="inlineStr">
        <is>
          <t>% Complete</t>
        </is>
      </c>
      <c r="K3" s="16" t="inlineStr">
        <is>
          <t>Original ETA</t>
        </is>
      </c>
      <c r="L3" s="16" t="inlineStr">
        <is>
          <t>Current ETA</t>
        </is>
      </c>
      <c r="M3" s="16" t="inlineStr">
        <is>
          <t>Delivered Date</t>
        </is>
      </c>
      <c r="N3" s="16" t="inlineStr">
        <is>
          <t>On-Time?</t>
        </is>
      </c>
      <c r="O3" s="16" t="inlineStr">
        <is>
          <t>Days Slip</t>
        </is>
      </c>
      <c r="P3" s="16" t="inlineStr">
        <is>
          <t>Notes / Dependencies</t>
        </is>
      </c>
    </row>
    <row r="4" ht="28" customHeight="1">
      <c r="A4" s="17" t="inlineStr">
        <is>
          <t>W-001</t>
        </is>
      </c>
      <c r="B4" s="17" t="inlineStr">
        <is>
          <t>Phase 0</t>
        </is>
      </c>
      <c r="C4" s="18" t="inlineStr">
        <is>
          <t>Setup</t>
        </is>
      </c>
      <c r="D4" s="18" t="inlineStr">
        <is>
          <t>Stand up .NET 8 solution skeleton (Synapse.Core, Synapse.Host, Synapse.Tests) per LLD §2.1</t>
        </is>
      </c>
      <c r="E4" s="17" t="inlineStr">
        <is>
          <t>BE</t>
        </is>
      </c>
      <c r="F4" s="17" t="n">
        <v>16</v>
      </c>
      <c r="G4" s="19">
        <f>F4*$B$1</f>
        <v/>
      </c>
      <c r="H4" s="17" t="n">
        <v>0</v>
      </c>
      <c r="I4" s="17" t="inlineStr">
        <is>
          <t>Not Started</t>
        </is>
      </c>
      <c r="J4" s="20" t="n">
        <v>0</v>
      </c>
      <c r="K4" s="21" t="n">
        <v>46177</v>
      </c>
      <c r="L4" s="21" t="n">
        <v>46177</v>
      </c>
      <c r="M4" s="21" t="n"/>
      <c r="N4" s="17">
        <f>IF(M4="","",IF(M4&lt;=K4,"On-Time","Delayed"))</f>
        <v/>
      </c>
      <c r="O4" s="17">
        <f>IF(M4="","",NETWORKDAYS(K4,M4)-1)</f>
        <v/>
      </c>
      <c r="P4" s="18" t="inlineStr">
        <is>
          <t>Branch off main; reference LLD project dependency graph.</t>
        </is>
      </c>
    </row>
    <row r="5" ht="28" customHeight="1">
      <c r="A5" s="17" t="inlineStr">
        <is>
          <t>W-002</t>
        </is>
      </c>
      <c r="B5" s="17" t="inlineStr">
        <is>
          <t>Phase 0</t>
        </is>
      </c>
      <c r="C5" s="18" t="inlineStr">
        <is>
          <t>Setup</t>
        </is>
      </c>
      <c r="D5" s="18" t="inlineStr">
        <is>
          <t>Add Synapse.Connectors.Jira and Synapse.Connectors.SharePoint empty projects + ProjectReferences</t>
        </is>
      </c>
      <c r="E5" s="17" t="inlineStr">
        <is>
          <t>BE</t>
        </is>
      </c>
      <c r="F5" s="17" t="n">
        <v>4</v>
      </c>
      <c r="G5" s="19">
        <f>F5*$B$1</f>
        <v/>
      </c>
      <c r="H5" s="17" t="n">
        <v>0</v>
      </c>
      <c r="I5" s="17" t="inlineStr">
        <is>
          <t>Not Started</t>
        </is>
      </c>
      <c r="J5" s="20" t="n">
        <v>0</v>
      </c>
      <c r="K5" s="21" t="n">
        <v>46177</v>
      </c>
      <c r="L5" s="21" t="n">
        <v>46177</v>
      </c>
      <c r="M5" s="21" t="n"/>
      <c r="N5" s="17">
        <f>IF(M5="","",IF(M5&lt;=K5,"On-Time","Delayed"))</f>
        <v/>
      </c>
      <c r="O5" s="17">
        <f>IF(M5="","",NETWORKDAYS(K5,M5)-1)</f>
        <v/>
      </c>
      <c r="P5" s="18" t="inlineStr">
        <is>
          <t>Mirror Node module boundaries.</t>
        </is>
      </c>
    </row>
    <row r="6" ht="28" customHeight="1">
      <c r="A6" s="17" t="inlineStr">
        <is>
          <t>W-003</t>
        </is>
      </c>
      <c r="B6" s="17" t="inlineStr">
        <is>
          <t>Phase 0</t>
        </is>
      </c>
      <c r="C6" s="18" t="inlineStr">
        <is>
          <t>Setup</t>
        </is>
      </c>
      <c r="D6" s="18" t="inlineStr">
        <is>
          <t>Drizzle → EF Core schema migration (13 tables → C# entities, snake_case keep)</t>
        </is>
      </c>
      <c r="E6" s="17" t="inlineStr">
        <is>
          <t>BE</t>
        </is>
      </c>
      <c r="F6" s="17" t="n">
        <v>24</v>
      </c>
      <c r="G6" s="19">
        <f>F6*$B$1</f>
        <v/>
      </c>
      <c r="H6" s="17" t="n">
        <v>0</v>
      </c>
      <c r="I6" s="17" t="inlineStr">
        <is>
          <t>Not Started</t>
        </is>
      </c>
      <c r="J6" s="20" t="n">
        <v>0</v>
      </c>
      <c r="K6" s="21" t="n">
        <v>46177</v>
      </c>
      <c r="L6" s="21" t="n">
        <v>46177</v>
      </c>
      <c r="M6" s="21" t="n"/>
      <c r="N6" s="17">
        <f>IF(M6="","",IF(M6&lt;=K6,"On-Time","Delayed"))</f>
        <v/>
      </c>
      <c r="O6" s="17">
        <f>IF(M6="","",NETWORKDAYS(K6,M6)-1)</f>
        <v/>
      </c>
      <c r="P6" s="18" t="inlineStr">
        <is>
          <t>Preserve org_id everywhere; keep app + jira_data schemas.</t>
        </is>
      </c>
    </row>
    <row r="7" ht="28" customHeight="1">
      <c r="A7" s="17" t="inlineStr">
        <is>
          <t>W-004</t>
        </is>
      </c>
      <c r="B7" s="17" t="inlineStr">
        <is>
          <t>Phase 0</t>
        </is>
      </c>
      <c r="C7" s="18" t="inlineStr">
        <is>
          <t>DevOps</t>
        </is>
      </c>
      <c r="D7" s="18" t="inlineStr">
        <is>
          <t>docker-compose: keep Postgres + Redis, replace Node service with .NET API service</t>
        </is>
      </c>
      <c r="E7" s="17" t="inlineStr">
        <is>
          <t>DevOps</t>
        </is>
      </c>
      <c r="F7" s="17" t="n">
        <v>8</v>
      </c>
      <c r="G7" s="19">
        <f>F7*$B$1</f>
        <v/>
      </c>
      <c r="H7" s="17" t="n">
        <v>0</v>
      </c>
      <c r="I7" s="17" t="inlineStr">
        <is>
          <t>Not Started</t>
        </is>
      </c>
      <c r="J7" s="20" t="n">
        <v>0</v>
      </c>
      <c r="K7" s="21" t="n">
        <v>46177</v>
      </c>
      <c r="L7" s="21" t="n">
        <v>46177</v>
      </c>
      <c r="M7" s="21" t="n"/>
      <c r="N7" s="17">
        <f>IF(M7="","",IF(M7&lt;=K7,"On-Time","Delayed"))</f>
        <v/>
      </c>
      <c r="O7" s="17">
        <f>IF(M7="","",NETWORKDAYS(K7,M7)-1)</f>
        <v/>
      </c>
      <c r="P7" s="18" t="inlineStr">
        <is>
          <t>Two service blocks: api + playwright-worker.</t>
        </is>
      </c>
    </row>
    <row r="8" ht="28" customHeight="1">
      <c r="A8" s="17" t="inlineStr">
        <is>
          <t>W-005</t>
        </is>
      </c>
      <c r="B8" s="17" t="inlineStr">
        <is>
          <t>Phase 0</t>
        </is>
      </c>
      <c r="C8" s="18" t="inlineStr">
        <is>
          <t>DevOps</t>
        </is>
      </c>
      <c r="D8" s="18" t="inlineStr">
        <is>
          <t>GitHub Actions CI: dotnet build + test + Playwright install + frontend build</t>
        </is>
      </c>
      <c r="E8" s="17" t="inlineStr">
        <is>
          <t>DevOps</t>
        </is>
      </c>
      <c r="F8" s="17" t="n">
        <v>12</v>
      </c>
      <c r="G8" s="19">
        <f>F8*$B$1</f>
        <v/>
      </c>
      <c r="H8" s="17" t="n">
        <v>0</v>
      </c>
      <c r="I8" s="17" t="inlineStr">
        <is>
          <t>Not Started</t>
        </is>
      </c>
      <c r="J8" s="20" t="n">
        <v>0</v>
      </c>
      <c r="K8" s="21" t="n">
        <v>46177</v>
      </c>
      <c r="L8" s="21" t="n">
        <v>46177</v>
      </c>
      <c r="M8" s="21" t="n"/>
      <c r="N8" s="17">
        <f>IF(M8="","",IF(M8&lt;=K8,"On-Time","Delayed"))</f>
        <v/>
      </c>
      <c r="O8" s="17">
        <f>IF(M8="","",NETWORKDAYS(K8,M8)-1)</f>
        <v/>
      </c>
      <c r="P8" s="18" t="inlineStr">
        <is>
          <t>Cache nuget + npm; matrix linux + windows.</t>
        </is>
      </c>
    </row>
    <row r="9" ht="28" customHeight="1">
      <c r="A9" s="17" t="inlineStr">
        <is>
          <t>W-006</t>
        </is>
      </c>
      <c r="B9" s="17" t="inlineStr">
        <is>
          <t>Phase 0</t>
        </is>
      </c>
      <c r="C9" s="18" t="inlineStr">
        <is>
          <t>DevOps</t>
        </is>
      </c>
      <c r="D9" s="18" t="inlineStr">
        <is>
          <t>Dockerfile for .NET API + Dockerfile.playwright for browser worker (separate image)</t>
        </is>
      </c>
      <c r="E9" s="17" t="inlineStr">
        <is>
          <t>DevOps</t>
        </is>
      </c>
      <c r="F9" s="17" t="n">
        <v>8</v>
      </c>
      <c r="G9" s="19">
        <f>F9*$B$1</f>
        <v/>
      </c>
      <c r="H9" s="17" t="n">
        <v>0</v>
      </c>
      <c r="I9" s="17" t="inlineStr">
        <is>
          <t>Not Started</t>
        </is>
      </c>
      <c r="J9" s="20" t="n">
        <v>0</v>
      </c>
      <c r="K9" s="21" t="n">
        <v>46177</v>
      </c>
      <c r="L9" s="21" t="n">
        <v>46177</v>
      </c>
      <c r="M9" s="21" t="n"/>
      <c r="N9" s="17">
        <f>IF(M9="","",IF(M9&lt;=K9,"On-Time","Delayed"))</f>
        <v/>
      </c>
      <c r="O9" s="17">
        <f>IF(M9="","",NETWORKDAYS(K9,M9)-1)</f>
        <v/>
      </c>
      <c r="P9" s="18" t="inlineStr">
        <is>
          <t>Per CLAUDE.md §10 — Playwright workers need browser binaries.</t>
        </is>
      </c>
    </row>
    <row r="10" ht="28" customHeight="1">
      <c r="A10" s="17" t="inlineStr">
        <is>
          <t>W-007</t>
        </is>
      </c>
      <c r="B10" s="17" t="inlineStr">
        <is>
          <t>Phase 0</t>
        </is>
      </c>
      <c r="C10" s="18" t="inlineStr">
        <is>
          <t>BA</t>
        </is>
      </c>
      <c r="D10" s="18" t="inlineStr">
        <is>
          <t>Baseline requirements doc — map Charter §5 modules to MVP+Phase 2 backlog with acceptance criteria</t>
        </is>
      </c>
      <c r="E10" s="17" t="inlineStr">
        <is>
          <t>BA</t>
        </is>
      </c>
      <c r="F10" s="17" t="n">
        <v>16</v>
      </c>
      <c r="G10" s="19">
        <f>F10*$B$1</f>
        <v/>
      </c>
      <c r="H10" s="17" t="n">
        <v>0</v>
      </c>
      <c r="I10" s="17" t="inlineStr">
        <is>
          <t>Not Started</t>
        </is>
      </c>
      <c r="J10" s="20" t="n">
        <v>0</v>
      </c>
      <c r="K10" s="21" t="n">
        <v>46177</v>
      </c>
      <c r="L10" s="21" t="n">
        <v>46177</v>
      </c>
      <c r="M10" s="21" t="n"/>
      <c r="N10" s="17">
        <f>IF(M10="","",IF(M10&lt;=K10,"On-Time","Delayed"))</f>
        <v/>
      </c>
      <c r="O10" s="17">
        <f>IF(M10="","",NETWORKDAYS(K10,M10)-1)</f>
        <v/>
      </c>
      <c r="P10" s="18" t="inlineStr">
        <is>
          <t>Single source of truth for sprint planning.</t>
        </is>
      </c>
    </row>
    <row r="11" ht="28" customHeight="1">
      <c r="A11" s="17" t="inlineStr">
        <is>
          <t>W-008</t>
        </is>
      </c>
      <c r="B11" s="17" t="inlineStr">
        <is>
          <t>Phase 0</t>
        </is>
      </c>
      <c r="C11" s="18" t="inlineStr">
        <is>
          <t>BA</t>
        </is>
      </c>
      <c r="D11" s="18" t="inlineStr">
        <is>
          <t>Acceptance criteria template (Given/When/Then) + UAT script template</t>
        </is>
      </c>
      <c r="E11" s="17" t="inlineStr">
        <is>
          <t>BA</t>
        </is>
      </c>
      <c r="F11" s="17" t="n">
        <v>8</v>
      </c>
      <c r="G11" s="19">
        <f>F11*$B$1</f>
        <v/>
      </c>
      <c r="H11" s="17" t="n">
        <v>0</v>
      </c>
      <c r="I11" s="17" t="inlineStr">
        <is>
          <t>Not Started</t>
        </is>
      </c>
      <c r="J11" s="20" t="n">
        <v>0</v>
      </c>
      <c r="K11" s="21" t="n">
        <v>46177</v>
      </c>
      <c r="L11" s="21" t="n">
        <v>46177</v>
      </c>
      <c r="M11" s="21" t="n"/>
      <c r="N11" s="17">
        <f>IF(M11="","",IF(M11&lt;=K11,"On-Time","Delayed"))</f>
        <v/>
      </c>
      <c r="O11" s="17">
        <f>IF(M11="","",NETWORKDAYS(K11,M11)-1)</f>
        <v/>
      </c>
      <c r="P11" s="18" t="inlineStr">
        <is>
          <t>Reuse across all sprint demos.</t>
        </is>
      </c>
    </row>
    <row r="12" ht="28" customHeight="1">
      <c r="A12" s="17" t="inlineStr">
        <is>
          <t>W-009</t>
        </is>
      </c>
      <c r="B12" s="17" t="inlineStr">
        <is>
          <t>Phase 0</t>
        </is>
      </c>
      <c r="C12" s="18" t="inlineStr">
        <is>
          <t>QA</t>
        </is>
      </c>
      <c r="D12" s="18" t="inlineStr">
        <is>
          <t>Test strategy doc — unit (xUnit) / integration / E2E (Playwright) / perf / security split per Handbook §9</t>
        </is>
      </c>
      <c r="E12" s="17" t="inlineStr">
        <is>
          <t>QA</t>
        </is>
      </c>
      <c r="F12" s="17" t="n">
        <v>12</v>
      </c>
      <c r="G12" s="19">
        <f>F12*$B$1</f>
        <v/>
      </c>
      <c r="H12" s="17" t="n">
        <v>0</v>
      </c>
      <c r="I12" s="17" t="inlineStr">
        <is>
          <t>Not Started</t>
        </is>
      </c>
      <c r="J12" s="20" t="n">
        <v>0</v>
      </c>
      <c r="K12" s="21" t="n">
        <v>46177</v>
      </c>
      <c r="L12" s="21" t="n">
        <v>46177</v>
      </c>
      <c r="M12" s="21" t="n"/>
      <c r="N12" s="17">
        <f>IF(M12="","",IF(M12&lt;=K12,"On-Time","Delayed"))</f>
        <v/>
      </c>
      <c r="O12" s="17">
        <f>IF(M12="","",NETWORKDAYS(K12,M12)-1)</f>
        <v/>
      </c>
      <c r="P12" s="18" t="inlineStr">
        <is>
          <t>Sets the test pyramid.</t>
        </is>
      </c>
    </row>
    <row r="13" ht="28" customHeight="1">
      <c r="A13" s="17" t="inlineStr">
        <is>
          <t>W-010</t>
        </is>
      </c>
      <c r="B13" s="17" t="inlineStr">
        <is>
          <t>Phase 0</t>
        </is>
      </c>
      <c r="C13" s="18" t="inlineStr">
        <is>
          <t>Setup</t>
        </is>
      </c>
      <c r="D13" s="18" t="inlineStr">
        <is>
          <t>Dev environment + onboarding doc (refresh existing CLAUDE.md for .NET path)</t>
        </is>
      </c>
      <c r="E13" s="17" t="inlineStr">
        <is>
          <t>BE</t>
        </is>
      </c>
      <c r="F13" s="17" t="n">
        <v>8</v>
      </c>
      <c r="G13" s="19">
        <f>F13*$B$1</f>
        <v/>
      </c>
      <c r="H13" s="17" t="n">
        <v>0</v>
      </c>
      <c r="I13" s="17" t="inlineStr">
        <is>
          <t>Not Started</t>
        </is>
      </c>
      <c r="J13" s="20" t="n">
        <v>0</v>
      </c>
      <c r="K13" s="21" t="n">
        <v>46177</v>
      </c>
      <c r="L13" s="21" t="n">
        <v>46177</v>
      </c>
      <c r="M13" s="21" t="n"/>
      <c r="N13" s="17">
        <f>IF(M13="","",IF(M13&lt;=K13,"On-Time","Delayed"))</f>
        <v/>
      </c>
      <c r="O13" s="17">
        <f>IF(M13="","",NETWORKDAYS(K13,M13)-1)</f>
        <v/>
      </c>
      <c r="P13" s="18" t="inlineStr">
        <is>
          <t>Replace Node-specific steps.</t>
        </is>
      </c>
    </row>
    <row r="14" ht="28" customHeight="1">
      <c r="A14" s="17" t="inlineStr">
        <is>
          <t>W-011</t>
        </is>
      </c>
      <c r="B14" s="17" t="inlineStr">
        <is>
          <t>Phase 1</t>
        </is>
      </c>
      <c r="C14" s="18" t="inlineStr">
        <is>
          <t>Hub Core</t>
        </is>
      </c>
      <c r="D14" s="18" t="inlineStr">
        <is>
          <t>Implement ISourceConnector, IDestinationConnector, ITransformStep interfaces (LLD §6)</t>
        </is>
      </c>
      <c r="E14" s="17" t="inlineStr">
        <is>
          <t>BE</t>
        </is>
      </c>
      <c r="F14" s="17" t="n">
        <v>16</v>
      </c>
      <c r="G14" s="19">
        <f>F14*$B$1</f>
        <v/>
      </c>
      <c r="H14" s="17" t="n">
        <v>1</v>
      </c>
      <c r="I14" s="17" t="inlineStr">
        <is>
          <t>Not Started</t>
        </is>
      </c>
      <c r="J14" s="20" t="n">
        <v>0</v>
      </c>
      <c r="K14" s="21" t="n">
        <v>46191</v>
      </c>
      <c r="L14" s="21" t="n">
        <v>46191</v>
      </c>
      <c r="M14" s="21" t="n"/>
      <c r="N14" s="17">
        <f>IF(M14="","",IF(M14&lt;=K14,"On-Time","Delayed"))</f>
        <v/>
      </c>
      <c r="O14" s="17">
        <f>IF(M14="","",NETWORKDAYS(K14,M14)-1)</f>
        <v/>
      </c>
      <c r="P14" s="18" t="inlineStr">
        <is>
          <t>Three interfaces — the only contract surface.</t>
        </is>
      </c>
    </row>
    <row r="15" ht="28" customHeight="1">
      <c r="A15" s="17" t="inlineStr">
        <is>
          <t>W-012</t>
        </is>
      </c>
      <c r="B15" s="17" t="inlineStr">
        <is>
          <t>Phase 1</t>
        </is>
      </c>
      <c r="C15" s="18" t="inlineStr">
        <is>
          <t>Hub Core</t>
        </is>
      </c>
      <c r="D15" s="18" t="inlineStr">
        <is>
          <t>MessageEnvelope record + SHA-256 ComputeChecksum + IsChecksumValid (LLD §6, Handbook §4.1)</t>
        </is>
      </c>
      <c r="E15" s="17" t="inlineStr">
        <is>
          <t>BE</t>
        </is>
      </c>
      <c r="F15" s="17" t="n">
        <v>16</v>
      </c>
      <c r="G15" s="19">
        <f>F15*$B$1</f>
        <v/>
      </c>
      <c r="H15" s="17" t="n">
        <v>1</v>
      </c>
      <c r="I15" s="17" t="inlineStr">
        <is>
          <t>Not Started</t>
        </is>
      </c>
      <c r="J15" s="20" t="n">
        <v>0</v>
      </c>
      <c r="K15" s="21" t="n">
        <v>46191</v>
      </c>
      <c r="L15" s="21" t="n">
        <v>46191</v>
      </c>
      <c r="M15" s="21" t="n"/>
      <c r="N15" s="17">
        <f>IF(M15="","",IF(M15&lt;=K15,"On-Time","Delayed"))</f>
        <v/>
      </c>
      <c r="O15" s="17">
        <f>IF(M15="","",NETWORKDAYS(K15,M15)-1)</f>
        <v/>
      </c>
      <c r="P15" s="18" t="inlineStr">
        <is>
          <t>Immutable record; thread-safe Payload Clone().</t>
        </is>
      </c>
    </row>
    <row r="16" ht="28" customHeight="1">
      <c r="A16" s="17" t="inlineStr">
        <is>
          <t>W-013</t>
        </is>
      </c>
      <c r="B16" s="17" t="inlineStr">
        <is>
          <t>Phase 1</t>
        </is>
      </c>
      <c r="C16" s="18" t="inlineStr">
        <is>
          <t>Hub Core</t>
        </is>
      </c>
      <c r="D16" s="18" t="inlineStr">
        <is>
          <t>IntegrationBus + bounded System.Threading.Channels intake + per-subscription channels</t>
        </is>
      </c>
      <c r="E16" s="17" t="inlineStr">
        <is>
          <t>BE</t>
        </is>
      </c>
      <c r="F16" s="17" t="n">
        <v>24</v>
      </c>
      <c r="G16" s="19">
        <f>F16*$B$1</f>
        <v/>
      </c>
      <c r="H16" s="17" t="n">
        <v>1</v>
      </c>
      <c r="I16" s="17" t="inlineStr">
        <is>
          <t>Not Started</t>
        </is>
      </c>
      <c r="J16" s="20" t="n">
        <v>0</v>
      </c>
      <c r="K16" s="21" t="n">
        <v>46191</v>
      </c>
      <c r="L16" s="21" t="n">
        <v>46191</v>
      </c>
      <c r="M16" s="21" t="n"/>
      <c r="N16" s="17">
        <f>IF(M16="","",IF(M16&lt;=K16,"On-Time","Delayed"))</f>
        <v/>
      </c>
      <c r="O16" s="17">
        <f>IF(M16="","",NETWORKDAYS(K16,M16)-1)</f>
        <v/>
      </c>
      <c r="P16" s="18" t="inlineStr">
        <is>
          <t>Backpressure naturally via Channel.Writer.WriteAsync.</t>
        </is>
      </c>
    </row>
    <row r="17" ht="28" customHeight="1">
      <c r="A17" s="17" t="inlineStr">
        <is>
          <t>W-014</t>
        </is>
      </c>
      <c r="B17" s="17" t="inlineStr">
        <is>
          <t>Phase 1</t>
        </is>
      </c>
      <c r="C17" s="18" t="inlineStr">
        <is>
          <t>Hub Core</t>
        </is>
      </c>
      <c r="D17" s="18" t="inlineStr">
        <is>
          <t>SubscriptionRegistry loader (subscriptions.json) + Subscription model</t>
        </is>
      </c>
      <c r="E17" s="17" t="inlineStr">
        <is>
          <t>BE</t>
        </is>
      </c>
      <c r="F17" s="17" t="n">
        <v>16</v>
      </c>
      <c r="G17" s="19">
        <f>F17*$B$1</f>
        <v/>
      </c>
      <c r="H17" s="17" t="n">
        <v>1</v>
      </c>
      <c r="I17" s="17" t="inlineStr">
        <is>
          <t>Not Started</t>
        </is>
      </c>
      <c r="J17" s="20" t="n">
        <v>0</v>
      </c>
      <c r="K17" s="21" t="n">
        <v>46191</v>
      </c>
      <c r="L17" s="21" t="n">
        <v>46191</v>
      </c>
      <c r="M17" s="21" t="n"/>
      <c r="N17" s="17">
        <f>IF(M17="","",IF(M17&lt;=K17,"On-Time","Delayed"))</f>
        <v/>
      </c>
      <c r="O17" s="17">
        <f>IF(M17="","",NETWORKDAYS(K17,M17)-1)</f>
        <v/>
      </c>
      <c r="P17" s="18" t="inlineStr">
        <is>
          <t>Immutable post-load.</t>
        </is>
      </c>
    </row>
    <row r="18" ht="28" customHeight="1">
      <c r="A18" s="17" t="inlineStr">
        <is>
          <t>W-015</t>
        </is>
      </c>
      <c r="B18" s="17" t="inlineStr">
        <is>
          <t>Phase 1</t>
        </is>
      </c>
      <c r="C18" s="18" t="inlineStr">
        <is>
          <t>Persistence</t>
        </is>
      </c>
      <c r="D18" s="18" t="inlineStr">
        <is>
          <t>EF Core HubDbContext + 4 entity types: InboxEntry, OutboxEntry, DeadLetterEntry, IdempotencyEntry</t>
        </is>
      </c>
      <c r="E18" s="17" t="inlineStr">
        <is>
          <t>BE</t>
        </is>
      </c>
      <c r="F18" s="17" t="n">
        <v>20</v>
      </c>
      <c r="G18" s="19">
        <f>F18*$B$1</f>
        <v/>
      </c>
      <c r="H18" s="17" t="n">
        <v>1</v>
      </c>
      <c r="I18" s="17" t="inlineStr">
        <is>
          <t>Not Started</t>
        </is>
      </c>
      <c r="J18" s="20" t="n">
        <v>0</v>
      </c>
      <c r="K18" s="21" t="n">
        <v>46191</v>
      </c>
      <c r="L18" s="21" t="n">
        <v>46191</v>
      </c>
      <c r="M18" s="21" t="n"/>
      <c r="N18" s="17">
        <f>IF(M18="","",IF(M18&lt;=K18,"On-Time","Delayed"))</f>
        <v/>
      </c>
      <c r="O18" s="17">
        <f>IF(M18="","",NETWORKDAYS(K18,M18)-1)</f>
        <v/>
      </c>
      <c r="P18" s="18" t="inlineStr">
        <is>
          <t>Schema per LLD §8.</t>
        </is>
      </c>
    </row>
    <row r="19" ht="28" customHeight="1">
      <c r="A19" s="17" t="inlineStr">
        <is>
          <t>W-016</t>
        </is>
      </c>
      <c r="B19" s="17" t="inlineStr">
        <is>
          <t>Phase 1</t>
        </is>
      </c>
      <c r="C19" s="18" t="inlineStr">
        <is>
          <t>Persistence</t>
        </is>
      </c>
      <c r="D19" s="18" t="inlineStr">
        <is>
          <t>InboxRepository + OutboxRepository + DeadLetterRepository + IdempotencyRepository</t>
        </is>
      </c>
      <c r="E19" s="17" t="inlineStr">
        <is>
          <t>BE</t>
        </is>
      </c>
      <c r="F19" s="17" t="n">
        <v>24</v>
      </c>
      <c r="G19" s="19">
        <f>F19*$B$1</f>
        <v/>
      </c>
      <c r="H19" s="17" t="n">
        <v>1</v>
      </c>
      <c r="I19" s="17" t="inlineStr">
        <is>
          <t>Not Started</t>
        </is>
      </c>
      <c r="J19" s="20" t="n">
        <v>0</v>
      </c>
      <c r="K19" s="21" t="n">
        <v>46191</v>
      </c>
      <c r="L19" s="21" t="n">
        <v>46191</v>
      </c>
      <c r="M19" s="21" t="n"/>
      <c r="N19" s="17">
        <f>IF(M19="","",IF(M19&lt;=K19,"On-Time","Delayed"))</f>
        <v/>
      </c>
      <c r="O19" s="17">
        <f>IF(M19="","",NETWORKDAYS(K19,M19)-1)</f>
        <v/>
      </c>
      <c r="P19" s="18" t="inlineStr">
        <is>
          <t>Scoped lifetime; IDbContextFactory.</t>
        </is>
      </c>
    </row>
    <row r="20" ht="28" customHeight="1">
      <c r="A20" s="17" t="inlineStr">
        <is>
          <t>W-017</t>
        </is>
      </c>
      <c r="B20" s="17" t="inlineStr">
        <is>
          <t>Phase 1</t>
        </is>
      </c>
      <c r="C20" s="18" t="inlineStr">
        <is>
          <t>QA</t>
        </is>
      </c>
      <c r="D20" s="18" t="inlineStr">
        <is>
          <t>Unit tests: envelope checksum round-trip, channel backpressure, repository upsert</t>
        </is>
      </c>
      <c r="E20" s="17" t="inlineStr">
        <is>
          <t>QA</t>
        </is>
      </c>
      <c r="F20" s="17" t="n">
        <v>16</v>
      </c>
      <c r="G20" s="19">
        <f>F20*$B$1</f>
        <v/>
      </c>
      <c r="H20" s="17" t="n">
        <v>1</v>
      </c>
      <c r="I20" s="17" t="inlineStr">
        <is>
          <t>Not Started</t>
        </is>
      </c>
      <c r="J20" s="20" t="n">
        <v>0</v>
      </c>
      <c r="K20" s="21" t="n">
        <v>46191</v>
      </c>
      <c r="L20" s="21" t="n">
        <v>46191</v>
      </c>
      <c r="M20" s="21" t="n"/>
      <c r="N20" s="17">
        <f>IF(M20="","",IF(M20&lt;=K20,"On-Time","Delayed"))</f>
        <v/>
      </c>
      <c r="O20" s="17">
        <f>IF(M20="","",NETWORKDAYS(K20,M20)-1)</f>
        <v/>
      </c>
      <c r="P20" s="18" t="inlineStr">
        <is>
          <t>Cover all 4 abstractions before connectors land.</t>
        </is>
      </c>
    </row>
    <row r="21" ht="28" customHeight="1">
      <c r="A21" s="17" t="inlineStr">
        <is>
          <t>W-018</t>
        </is>
      </c>
      <c r="B21" s="17" t="inlineStr">
        <is>
          <t>Phase 1</t>
        </is>
      </c>
      <c r="C21" s="18" t="inlineStr">
        <is>
          <t>BA</t>
        </is>
      </c>
      <c r="D21" s="18" t="inlineStr">
        <is>
          <t>Sprint 1 user-story refinement + acceptance criteria for hub core</t>
        </is>
      </c>
      <c r="E21" s="17" t="inlineStr">
        <is>
          <t>BA</t>
        </is>
      </c>
      <c r="F21" s="17" t="n">
        <v>10</v>
      </c>
      <c r="G21" s="19">
        <f>F21*$B$1</f>
        <v/>
      </c>
      <c r="H21" s="17" t="n">
        <v>1</v>
      </c>
      <c r="I21" s="17" t="inlineStr">
        <is>
          <t>Not Started</t>
        </is>
      </c>
      <c r="J21" s="20" t="n">
        <v>0</v>
      </c>
      <c r="K21" s="21" t="n">
        <v>46191</v>
      </c>
      <c r="L21" s="21" t="n">
        <v>46191</v>
      </c>
      <c r="M21" s="21" t="n"/>
      <c r="N21" s="17">
        <f>IF(M21="","",IF(M21&lt;=K21,"On-Time","Delayed"))</f>
        <v/>
      </c>
      <c r="O21" s="17">
        <f>IF(M21="","",NETWORKDAYS(K21,M21)-1)</f>
        <v/>
      </c>
      <c r="P21" s="18" t="inlineStr">
        <is>
          <t>Hub-engine stories: "as a router, I can fan-out to N subs".</t>
        </is>
      </c>
    </row>
    <row r="22" ht="28" customHeight="1">
      <c r="A22" s="17" t="inlineStr">
        <is>
          <t>W-019</t>
        </is>
      </c>
      <c r="B22" s="17" t="inlineStr">
        <is>
          <t>Phase 1</t>
        </is>
      </c>
      <c r="C22" s="18" t="inlineStr">
        <is>
          <t>Hub Core</t>
        </is>
      </c>
      <c r="D22" s="18" t="inlineStr">
        <is>
          <t>RouterService (BackgroundService): reads intake channel, fans out to subscription channels</t>
        </is>
      </c>
      <c r="E22" s="17" t="inlineStr">
        <is>
          <t>BE</t>
        </is>
      </c>
      <c r="F22" s="17" t="n">
        <v>20</v>
      </c>
      <c r="G22" s="19">
        <f>F22*$B$1</f>
        <v/>
      </c>
      <c r="H22" s="17" t="n">
        <v>2</v>
      </c>
      <c r="I22" s="17" t="inlineStr">
        <is>
          <t>Not Started</t>
        </is>
      </c>
      <c r="J22" s="20" t="n">
        <v>0</v>
      </c>
      <c r="K22" s="21" t="n">
        <v>46205</v>
      </c>
      <c r="L22" s="21" t="n">
        <v>46205</v>
      </c>
      <c r="M22" s="21" t="n"/>
      <c r="N22" s="17">
        <f>IF(M22="","",IF(M22&lt;=K22,"On-Time","Delayed"))</f>
        <v/>
      </c>
      <c r="O22" s="17">
        <f>IF(M22="","",NETWORKDAYS(K22,M22)-1)</f>
        <v/>
      </c>
      <c r="P22" s="18" t="inlineStr">
        <is>
          <t>Single loop; sole intake reader.</t>
        </is>
      </c>
    </row>
    <row r="23" ht="28" customHeight="1">
      <c r="A23" s="17" t="inlineStr">
        <is>
          <t>W-020</t>
        </is>
      </c>
      <c r="B23" s="17" t="inlineStr">
        <is>
          <t>Phase 1</t>
        </is>
      </c>
      <c r="C23" s="18" t="inlineStr">
        <is>
          <t>Hub Core</t>
        </is>
      </c>
      <c r="D23" s="18" t="inlineStr">
        <is>
          <t>SubscriptionWorkerOrchestrator + SubscriptionWorker per Subscription (Serial mode first)</t>
        </is>
      </c>
      <c r="E23" s="17" t="inlineStr">
        <is>
          <t>BE</t>
        </is>
      </c>
      <c r="F23" s="17" t="n">
        <v>24</v>
      </c>
      <c r="G23" s="19">
        <f>F23*$B$1</f>
        <v/>
      </c>
      <c r="H23" s="17" t="n">
        <v>2</v>
      </c>
      <c r="I23" s="17" t="inlineStr">
        <is>
          <t>Not Started</t>
        </is>
      </c>
      <c r="J23" s="20" t="n">
        <v>0</v>
      </c>
      <c r="K23" s="21" t="n">
        <v>46205</v>
      </c>
      <c r="L23" s="21" t="n">
        <v>46205</v>
      </c>
      <c r="M23" s="21" t="n"/>
      <c r="N23" s="17">
        <f>IF(M23="","",IF(M23&lt;=K23,"On-Time","Delayed"))</f>
        <v/>
      </c>
      <c r="O23" s="17">
        <f>IF(M23="","",NETWORKDAYS(K23,M23)-1)</f>
        <v/>
      </c>
      <c r="P23" s="18" t="inlineStr">
        <is>
          <t>Other modes deferred until Phase 2 perf.</t>
        </is>
      </c>
    </row>
    <row r="24" ht="28" customHeight="1">
      <c r="A24" s="17" t="inlineStr">
        <is>
          <t>W-021</t>
        </is>
      </c>
      <c r="B24" s="17" t="inlineStr">
        <is>
          <t>Phase 1</t>
        </is>
      </c>
      <c r="C24" s="18" t="inlineStr">
        <is>
          <t>Hub Core</t>
        </is>
      </c>
      <c r="D24" s="18" t="inlineStr">
        <is>
          <t>TransformPipeline executor (LLD §4.6) — chain ITransformStep by config order</t>
        </is>
      </c>
      <c r="E24" s="17" t="inlineStr">
        <is>
          <t>BE</t>
        </is>
      </c>
      <c r="F24" s="17" t="n">
        <v>16</v>
      </c>
      <c r="G24" s="19">
        <f>F24*$B$1</f>
        <v/>
      </c>
      <c r="H24" s="17" t="n">
        <v>2</v>
      </c>
      <c r="I24" s="17" t="inlineStr">
        <is>
          <t>Not Started</t>
        </is>
      </c>
      <c r="J24" s="20" t="n">
        <v>0</v>
      </c>
      <c r="K24" s="21" t="n">
        <v>46205</v>
      </c>
      <c r="L24" s="21" t="n">
        <v>46205</v>
      </c>
      <c r="M24" s="21" t="n"/>
      <c r="N24" s="17">
        <f>IF(M24="","",IF(M24&lt;=K24,"On-Time","Delayed"))</f>
        <v/>
      </c>
      <c r="O24" s="17">
        <f>IF(M24="","",NETWORKDAYS(K24,M24)-1)</f>
        <v/>
      </c>
      <c r="P24" s="18" t="inlineStr">
        <is>
          <t>Unknown StepId: warn + skip.</t>
        </is>
      </c>
    </row>
    <row r="25" ht="28" customHeight="1">
      <c r="A25" s="17" t="inlineStr">
        <is>
          <t>W-022</t>
        </is>
      </c>
      <c r="B25" s="17" t="inlineStr">
        <is>
          <t>Phase 1</t>
        </is>
      </c>
      <c r="C25" s="18" t="inlineStr">
        <is>
          <t>Reliability</t>
        </is>
      </c>
      <c r="D25" s="18" t="inlineStr">
        <is>
          <t>Polly ResiliencePipeline per destination: retry 3x exp+jitter + circuit breaker 0.5/30s + bulkhead</t>
        </is>
      </c>
      <c r="E25" s="17" t="inlineStr">
        <is>
          <t>BE</t>
        </is>
      </c>
      <c r="F25" s="17" t="n">
        <v>16</v>
      </c>
      <c r="G25" s="19">
        <f>F25*$B$1</f>
        <v/>
      </c>
      <c r="H25" s="17" t="n">
        <v>2</v>
      </c>
      <c r="I25" s="17" t="inlineStr">
        <is>
          <t>Not Started</t>
        </is>
      </c>
      <c r="J25" s="20" t="n">
        <v>0</v>
      </c>
      <c r="K25" s="21" t="n">
        <v>46205</v>
      </c>
      <c r="L25" s="21" t="n">
        <v>46205</v>
      </c>
      <c r="M25" s="21" t="n"/>
      <c r="N25" s="17">
        <f>IF(M25="","",IF(M25&lt;=K25,"On-Time","Delayed"))</f>
        <v/>
      </c>
      <c r="O25" s="17">
        <f>IF(M25="","",NETWORKDAYS(K25,M25)-1)</f>
        <v/>
      </c>
      <c r="P25" s="18" t="inlineStr">
        <is>
          <t>Per LLD §11.1 + Architecture §11.</t>
        </is>
      </c>
    </row>
    <row r="26" ht="28" customHeight="1">
      <c r="A26" s="17" t="inlineStr">
        <is>
          <t>W-023</t>
        </is>
      </c>
      <c r="B26" s="17" t="inlineStr">
        <is>
          <t>Phase 1</t>
        </is>
      </c>
      <c r="C26" s="18" t="inlineStr">
        <is>
          <t>Reliability</t>
        </is>
      </c>
      <c r="D26" s="18" t="inlineStr">
        <is>
          <t>Dead Letter Queue auto-replay BackgroundService (5-min scan) + Poisoned state alerting</t>
        </is>
      </c>
      <c r="E26" s="17" t="inlineStr">
        <is>
          <t>BE</t>
        </is>
      </c>
      <c r="F26" s="17" t="n">
        <v>20</v>
      </c>
      <c r="G26" s="19">
        <f>F26*$B$1</f>
        <v/>
      </c>
      <c r="H26" s="17" t="n">
        <v>2</v>
      </c>
      <c r="I26" s="17" t="inlineStr">
        <is>
          <t>Not Started</t>
        </is>
      </c>
      <c r="J26" s="20" t="n">
        <v>0</v>
      </c>
      <c r="K26" s="21" t="n">
        <v>46205</v>
      </c>
      <c r="L26" s="21" t="n">
        <v>46205</v>
      </c>
      <c r="M26" s="21" t="n"/>
      <c r="N26" s="17">
        <f>IF(M26="","",IF(M26&lt;=K26,"On-Time","Delayed"))</f>
        <v/>
      </c>
      <c r="O26" s="17">
        <f>IF(M26="","",NETWORKDAYS(K26,M26)-1)</f>
        <v/>
      </c>
      <c r="P26" s="18" t="inlineStr">
        <is>
          <t>Per Architecture §11.2.</t>
        </is>
      </c>
    </row>
    <row r="27" ht="28" customHeight="1">
      <c r="A27" s="17" t="inlineStr">
        <is>
          <t>W-024</t>
        </is>
      </c>
      <c r="B27" s="17" t="inlineStr">
        <is>
          <t>Phase 1</t>
        </is>
      </c>
      <c r="C27" s="18" t="inlineStr">
        <is>
          <t>Reliability</t>
        </is>
      </c>
      <c r="D27" s="18" t="inlineStr">
        <is>
          <t>Manual + bulk DLQ replay endpoints</t>
        </is>
      </c>
      <c r="E27" s="17" t="inlineStr">
        <is>
          <t>BE</t>
        </is>
      </c>
      <c r="F27" s="17" t="n">
        <v>10</v>
      </c>
      <c r="G27" s="19">
        <f>F27*$B$1</f>
        <v/>
      </c>
      <c r="H27" s="17" t="n">
        <v>2</v>
      </c>
      <c r="I27" s="17" t="inlineStr">
        <is>
          <t>Not Started</t>
        </is>
      </c>
      <c r="J27" s="20" t="n">
        <v>0</v>
      </c>
      <c r="K27" s="21" t="n">
        <v>46205</v>
      </c>
      <c r="L27" s="21" t="n">
        <v>46205</v>
      </c>
      <c r="M27" s="21" t="n"/>
      <c r="N27" s="17">
        <f>IF(M27="","",IF(M27&lt;=K27,"On-Time","Delayed"))</f>
        <v/>
      </c>
      <c r="O27" s="17">
        <f>IF(M27="","",NETWORKDAYS(K27,M27)-1)</f>
        <v/>
      </c>
      <c r="P27" s="18" t="inlineStr">
        <is>
          <t>POST /hub/dlq/{id}/replay + bulk by destination.</t>
        </is>
      </c>
    </row>
    <row r="28" ht="28" customHeight="1">
      <c r="A28" s="17" t="inlineStr">
        <is>
          <t>W-025</t>
        </is>
      </c>
      <c r="B28" s="17" t="inlineStr">
        <is>
          <t>Phase 1</t>
        </is>
      </c>
      <c r="C28" s="18" t="inlineStr">
        <is>
          <t>Hub Core</t>
        </is>
      </c>
      <c r="D28" s="18" t="inlineStr">
        <is>
          <t>DI wiring: ServiceCollectionExtensions.AddSynapseCore() per LLD §7 table</t>
        </is>
      </c>
      <c r="E28" s="17" t="inlineStr">
        <is>
          <t>BE</t>
        </is>
      </c>
      <c r="F28" s="17" t="n">
        <v>10</v>
      </c>
      <c r="G28" s="19">
        <f>F28*$B$1</f>
        <v/>
      </c>
      <c r="H28" s="17" t="n">
        <v>2</v>
      </c>
      <c r="I28" s="17" t="inlineStr">
        <is>
          <t>Not Started</t>
        </is>
      </c>
      <c r="J28" s="20" t="n">
        <v>0</v>
      </c>
      <c r="K28" s="21" t="n">
        <v>46205</v>
      </c>
      <c r="L28" s="21" t="n">
        <v>46205</v>
      </c>
      <c r="M28" s="21" t="n"/>
      <c r="N28" s="17">
        <f>IF(M28="","",IF(M28&lt;=K28,"On-Time","Delayed"))</f>
        <v/>
      </c>
      <c r="O28" s="17">
        <f>IF(M28="","",NETWORKDAYS(K28,M28)-1)</f>
        <v/>
      </c>
      <c r="P28" s="18" t="inlineStr">
        <is>
          <t>Lifetimes per LLD table 5.</t>
        </is>
      </c>
    </row>
    <row r="29" ht="28" customHeight="1">
      <c r="A29" s="17" t="inlineStr">
        <is>
          <t>W-026</t>
        </is>
      </c>
      <c r="B29" s="17" t="inlineStr">
        <is>
          <t>Phase 1</t>
        </is>
      </c>
      <c r="C29" s="18" t="inlineStr">
        <is>
          <t>QA</t>
        </is>
      </c>
      <c r="D29" s="18" t="inlineStr">
        <is>
          <t>Integration tests: end-to-end fake source → router → transform → fake destination → inbox=Done</t>
        </is>
      </c>
      <c r="E29" s="17" t="inlineStr">
        <is>
          <t>QA</t>
        </is>
      </c>
      <c r="F29" s="17" t="n">
        <v>20</v>
      </c>
      <c r="G29" s="19">
        <f>F29*$B$1</f>
        <v/>
      </c>
      <c r="H29" s="17" t="n">
        <v>2</v>
      </c>
      <c r="I29" s="17" t="inlineStr">
        <is>
          <t>Not Started</t>
        </is>
      </c>
      <c r="J29" s="20" t="n">
        <v>0</v>
      </c>
      <c r="K29" s="21" t="n">
        <v>46205</v>
      </c>
      <c r="L29" s="21" t="n">
        <v>46205</v>
      </c>
      <c r="M29" s="21" t="n"/>
      <c r="N29" s="17">
        <f>IF(M29="","",IF(M29&lt;=K29,"On-Time","Delayed"))</f>
        <v/>
      </c>
      <c r="O29" s="17">
        <f>IF(M29="","",NETWORKDAYS(K29,M29)-1)</f>
        <v/>
      </c>
      <c r="P29" s="18" t="inlineStr">
        <is>
          <t>Use Handbook §9.2 pipeline fakes pattern.</t>
        </is>
      </c>
    </row>
    <row r="30" ht="28" customHeight="1">
      <c r="A30" s="17" t="inlineStr">
        <is>
          <t>W-027</t>
        </is>
      </c>
      <c r="B30" s="17" t="inlineStr">
        <is>
          <t>Phase 1</t>
        </is>
      </c>
      <c r="C30" s="18" t="inlineStr">
        <is>
          <t>BA</t>
        </is>
      </c>
      <c r="D30" s="18" t="inlineStr">
        <is>
          <t>Sprint 2 demo prep + stakeholder walkthrough of hub engine</t>
        </is>
      </c>
      <c r="E30" s="17" t="inlineStr">
        <is>
          <t>BA</t>
        </is>
      </c>
      <c r="F30" s="17" t="n">
        <v>8</v>
      </c>
      <c r="G30" s="19">
        <f>F30*$B$1</f>
        <v/>
      </c>
      <c r="H30" s="17" t="n">
        <v>2</v>
      </c>
      <c r="I30" s="17" t="inlineStr">
        <is>
          <t>Not Started</t>
        </is>
      </c>
      <c r="J30" s="20" t="n">
        <v>0</v>
      </c>
      <c r="K30" s="21" t="n">
        <v>46205</v>
      </c>
      <c r="L30" s="21" t="n">
        <v>46205</v>
      </c>
      <c r="M30" s="21" t="n"/>
      <c r="N30" s="17">
        <f>IF(M30="","",IF(M30&lt;=K30,"On-Time","Delayed"))</f>
        <v/>
      </c>
      <c r="O30" s="17">
        <f>IF(M30="","",NETWORKDAYS(K30,M30)-1)</f>
        <v/>
      </c>
      <c r="P30" s="18" t="inlineStr">
        <is>
          <t>Demo M1 milestone candidate.</t>
        </is>
      </c>
    </row>
    <row r="31" ht="28" customHeight="1">
      <c r="A31" s="17" t="inlineStr">
        <is>
          <t>W-028</t>
        </is>
      </c>
      <c r="B31" s="17" t="inlineStr">
        <is>
          <t>Phase 1</t>
        </is>
      </c>
      <c r="C31" s="18" t="inlineStr">
        <is>
          <t>Connector</t>
        </is>
      </c>
      <c r="D31" s="18" t="inlineStr">
        <is>
          <t>Port RedGoldApiClient (REST + Basic Auth + p-limit) to .NET HttpClient + Polly</t>
        </is>
      </c>
      <c r="E31" s="17" t="inlineStr">
        <is>
          <t>BE</t>
        </is>
      </c>
      <c r="F31" s="17" t="n">
        <v>24</v>
      </c>
      <c r="G31" s="19">
        <f>F31*$B$1</f>
        <v/>
      </c>
      <c r="H31" s="17" t="n">
        <v>3</v>
      </c>
      <c r="I31" s="17" t="inlineStr">
        <is>
          <t>Not Started</t>
        </is>
      </c>
      <c r="J31" s="20" t="n">
        <v>0</v>
      </c>
      <c r="K31" s="21" t="n">
        <v>46219</v>
      </c>
      <c r="L31" s="21" t="n">
        <v>46219</v>
      </c>
      <c r="M31" s="21" t="n"/>
      <c r="N31" s="17">
        <f>IF(M31="","",IF(M31&lt;=K31,"On-Time","Delayed"))</f>
        <v/>
      </c>
      <c r="O31" s="17">
        <f>IF(M31="","",NETWORKDAYS(K31,M31)-1)</f>
        <v/>
      </c>
      <c r="P31" s="18" t="inlineStr">
        <is>
          <t>Direct translation; preserve pagination loop.</t>
        </is>
      </c>
    </row>
    <row r="32" ht="28" customHeight="1">
      <c r="A32" s="17" t="inlineStr">
        <is>
          <t>W-029</t>
        </is>
      </c>
      <c r="B32" s="17" t="inlineStr">
        <is>
          <t>Phase 1</t>
        </is>
      </c>
      <c r="C32" s="18" t="inlineStr">
        <is>
          <t>Connector</t>
        </is>
      </c>
      <c r="D32" s="18" t="inlineStr">
        <is>
          <t>Port RedGoldDataExtractor JQL strategy + worklog expand → MessageEnvelope publish</t>
        </is>
      </c>
      <c r="E32" s="17" t="inlineStr">
        <is>
          <t>BE</t>
        </is>
      </c>
      <c r="F32" s="17" t="n">
        <v>20</v>
      </c>
      <c r="G32" s="19">
        <f>F32*$B$1</f>
        <v/>
      </c>
      <c r="H32" s="17" t="n">
        <v>3</v>
      </c>
      <c r="I32" s="17" t="inlineStr">
        <is>
          <t>Not Started</t>
        </is>
      </c>
      <c r="J32" s="20" t="n">
        <v>0</v>
      </c>
      <c r="K32" s="21" t="n">
        <v>46219</v>
      </c>
      <c r="L32" s="21" t="n">
        <v>46219</v>
      </c>
      <c r="M32" s="21" t="n"/>
      <c r="N32" s="17">
        <f>IF(M32="","",IF(M32&lt;=K32,"On-Time","Delayed"))</f>
        <v/>
      </c>
      <c r="O32" s="17">
        <f>IF(M32="","",NETWORKDAYS(K32,M32)-1)</f>
        <v/>
      </c>
      <c r="P32" s="18" t="inlineStr">
        <is>
          <t>Status-changed JQL; worklog within report period.</t>
        </is>
      </c>
    </row>
    <row r="33" ht="28" customHeight="1">
      <c r="A33" s="17" t="inlineStr">
        <is>
          <t>W-030</t>
        </is>
      </c>
      <c r="B33" s="17" t="inlineStr">
        <is>
          <t>Phase 1</t>
        </is>
      </c>
      <c r="C33" s="18" t="inlineStr">
        <is>
          <t>Connector</t>
        </is>
      </c>
      <c r="D33" s="18" t="inlineStr">
        <is>
          <t>Port FlatironScraper to Microsoft.Playwright (.NET) + TOTP via Otp.NET</t>
        </is>
      </c>
      <c r="E33" s="17" t="inlineStr">
        <is>
          <t>BE</t>
        </is>
      </c>
      <c r="F33" s="17" t="n">
        <v>32</v>
      </c>
      <c r="G33" s="19">
        <f>F33*$B$1</f>
        <v/>
      </c>
      <c r="H33" s="17" t="n">
        <v>3</v>
      </c>
      <c r="I33" s="17" t="inlineStr">
        <is>
          <t>Not Started</t>
        </is>
      </c>
      <c r="J33" s="20" t="n">
        <v>0</v>
      </c>
      <c r="K33" s="21" t="n">
        <v>46219</v>
      </c>
      <c r="L33" s="21" t="n">
        <v>46219</v>
      </c>
      <c r="M33" s="21" t="n"/>
      <c r="N33" s="17">
        <f>IF(M33="","",IF(M33&lt;=K33,"On-Time","Delayed"))</f>
        <v/>
      </c>
      <c r="O33" s="17">
        <f>IF(M33="","",NETWORKDAYS(K33,M33)-1)</f>
        <v/>
      </c>
      <c r="P33" s="18" t="inlineStr">
        <is>
          <t>MFA + storageState persistence (8hr); headed for debug.</t>
        </is>
      </c>
    </row>
    <row r="34" ht="28" customHeight="1">
      <c r="A34" s="17" t="inlineStr">
        <is>
          <t>W-031</t>
        </is>
      </c>
      <c r="B34" s="17" t="inlineStr">
        <is>
          <t>Phase 1</t>
        </is>
      </c>
      <c r="C34" s="18" t="inlineStr">
        <is>
          <t>Connector</t>
        </is>
      </c>
      <c r="D34" s="18" t="inlineStr">
        <is>
          <t>Port FlatironDataExtractor label-pattern fetch (patch_*, tempapp_*, nalashaa_*) + Testmo session</t>
        </is>
      </c>
      <c r="E34" s="17" t="inlineStr">
        <is>
          <t>BE</t>
        </is>
      </c>
      <c r="F34" s="17" t="n">
        <v>24</v>
      </c>
      <c r="G34" s="19">
        <f>F34*$B$1</f>
        <v/>
      </c>
      <c r="H34" s="17" t="n">
        <v>3</v>
      </c>
      <c r="I34" s="17" t="inlineStr">
        <is>
          <t>Not Started</t>
        </is>
      </c>
      <c r="J34" s="20" t="n">
        <v>0</v>
      </c>
      <c r="K34" s="21" t="n">
        <v>46219</v>
      </c>
      <c r="L34" s="21" t="n">
        <v>46219</v>
      </c>
      <c r="M34" s="21" t="n"/>
      <c r="N34" s="17">
        <f>IF(M34="","",IF(M34&lt;=K34,"On-Time","Delayed"))</f>
        <v/>
      </c>
      <c r="O34" s="17">
        <f>IF(M34="","",NETWORKDAYS(K34,M34)-1)</f>
        <v/>
      </c>
      <c r="P34" s="18" t="inlineStr">
        <is>
          <t>Per CLAUDE.md §5.2 label conventions.</t>
        </is>
      </c>
    </row>
    <row r="35" ht="28" customHeight="1">
      <c r="A35" s="17" t="inlineStr">
        <is>
          <t>W-032</t>
        </is>
      </c>
      <c r="B35" s="17" t="inlineStr">
        <is>
          <t>Phase 1</t>
        </is>
      </c>
      <c r="C35" s="18" t="inlineStr">
        <is>
          <t>Connector</t>
        </is>
      </c>
      <c r="D35" s="18" t="inlineStr">
        <is>
          <t>Port JiraTicketNormalizer (Flatiron + Red Gold → NormalizedJiraTicket)</t>
        </is>
      </c>
      <c r="E35" s="17" t="inlineStr">
        <is>
          <t>BE</t>
        </is>
      </c>
      <c r="F35" s="17" t="n">
        <v>16</v>
      </c>
      <c r="G35" s="19">
        <f>F35*$B$1</f>
        <v/>
      </c>
      <c r="H35" s="17" t="n">
        <v>3</v>
      </c>
      <c r="I35" s="17" t="inlineStr">
        <is>
          <t>Not Started</t>
        </is>
      </c>
      <c r="J35" s="20" t="n">
        <v>0</v>
      </c>
      <c r="K35" s="21" t="n">
        <v>46219</v>
      </c>
      <c r="L35" s="21" t="n">
        <v>46219</v>
      </c>
      <c r="M35" s="21" t="n"/>
      <c r="N35" s="17">
        <f>IF(M35="","",IF(M35&lt;=K35,"On-Time","Delayed"))</f>
        <v/>
      </c>
      <c r="O35" s="17">
        <f>IF(M35="","",NETWORKDAYS(K35,M35)-1)</f>
        <v/>
      </c>
      <c r="P35" s="18" t="inlineStr">
        <is>
          <t>Pure mapping; covered by fixtures.</t>
        </is>
      </c>
    </row>
    <row r="36" ht="28" customHeight="1">
      <c r="A36" s="17" t="inlineStr">
        <is>
          <t>W-033</t>
        </is>
      </c>
      <c r="B36" s="17" t="inlineStr">
        <is>
          <t>Phase 1</t>
        </is>
      </c>
      <c r="C36" s="18" t="inlineStr">
        <is>
          <t>Connector</t>
        </is>
      </c>
      <c r="D36" s="18" t="inlineStr">
        <is>
          <t>Port SharePoint OAuth2 client-credentials auth + token cache + Graph site/list resolve</t>
        </is>
      </c>
      <c r="E36" s="17" t="inlineStr">
        <is>
          <t>BE</t>
        </is>
      </c>
      <c r="F36" s="17" t="n">
        <v>16</v>
      </c>
      <c r="G36" s="19">
        <f>F36*$B$1</f>
        <v/>
      </c>
      <c r="H36" s="17" t="n">
        <v>3</v>
      </c>
      <c r="I36" s="17" t="inlineStr">
        <is>
          <t>Not Started</t>
        </is>
      </c>
      <c r="J36" s="20" t="n">
        <v>0</v>
      </c>
      <c r="K36" s="21" t="n">
        <v>46219</v>
      </c>
      <c r="L36" s="21" t="n">
        <v>46219</v>
      </c>
      <c r="M36" s="21" t="n"/>
      <c r="N36" s="17">
        <f>IF(M36="","",IF(M36&lt;=K36,"On-Time","Delayed"))</f>
        <v/>
      </c>
      <c r="O36" s="17">
        <f>IF(M36="","",NETWORKDAYS(K36,M36)-1)</f>
        <v/>
      </c>
      <c r="P36" s="18" t="inlineStr">
        <is>
          <t>Microsoft.Graph SDK.</t>
        </is>
      </c>
    </row>
    <row r="37" ht="28" customHeight="1">
      <c r="A37" s="17" t="inlineStr">
        <is>
          <t>W-034</t>
        </is>
      </c>
      <c r="B37" s="17" t="inlineStr">
        <is>
          <t>Phase 1</t>
        </is>
      </c>
      <c r="C37" s="18" t="inlineStr">
        <is>
          <t>Connector</t>
        </is>
      </c>
      <c r="D37" s="18" t="inlineStr">
        <is>
          <t>Port SharePoint Push (create/update list items + 3-layer dedup + batch=20 + progress)</t>
        </is>
      </c>
      <c r="E37" s="17" t="inlineStr">
        <is>
          <t>BE</t>
        </is>
      </c>
      <c r="F37" s="17" t="n">
        <v>24</v>
      </c>
      <c r="G37" s="19">
        <f>F37*$B$1</f>
        <v/>
      </c>
      <c r="H37" s="17" t="n">
        <v>3</v>
      </c>
      <c r="I37" s="17" t="inlineStr">
        <is>
          <t>Not Started</t>
        </is>
      </c>
      <c r="J37" s="20" t="n">
        <v>0</v>
      </c>
      <c r="K37" s="21" t="n">
        <v>46219</v>
      </c>
      <c r="L37" s="21" t="n">
        <v>46219</v>
      </c>
      <c r="M37" s="21" t="n"/>
      <c r="N37" s="17">
        <f>IF(M37="","",IF(M37&lt;=K37,"On-Time","Delayed"))</f>
        <v/>
      </c>
      <c r="O37" s="17">
        <f>IF(M37="","",NETWORKDAYS(K37,M37)-1)</f>
        <v/>
      </c>
      <c r="P37" s="18" t="inlineStr">
        <is>
          <t>Preserve pushLog → jiraItemCache → SP query order.</t>
        </is>
      </c>
    </row>
    <row r="38" ht="28" customHeight="1">
      <c r="A38" s="17" t="inlineStr">
        <is>
          <t>W-035</t>
        </is>
      </c>
      <c r="B38" s="17" t="inlineStr">
        <is>
          <t>Phase 1</t>
        </is>
      </c>
      <c r="C38" s="18" t="inlineStr">
        <is>
          <t>Connector</t>
        </is>
      </c>
      <c r="D38" s="18" t="inlineStr">
        <is>
          <t>Port 35-field Jira→SharePoint mapper + derived fields (CycleTimeDays, IsOverdue, etc.)</t>
        </is>
      </c>
      <c r="E38" s="17" t="inlineStr">
        <is>
          <t>BE</t>
        </is>
      </c>
      <c r="F38" s="17" t="n">
        <v>20</v>
      </c>
      <c r="G38" s="19">
        <f>F38*$B$1</f>
        <v/>
      </c>
      <c r="H38" s="17" t="n">
        <v>3</v>
      </c>
      <c r="I38" s="17" t="inlineStr">
        <is>
          <t>Not Started</t>
        </is>
      </c>
      <c r="J38" s="20" t="n">
        <v>0</v>
      </c>
      <c r="K38" s="21" t="n">
        <v>46219</v>
      </c>
      <c r="L38" s="21" t="n">
        <v>46219</v>
      </c>
      <c r="M38" s="21" t="n"/>
      <c r="N38" s="17">
        <f>IF(M38="","",IF(M38&lt;=K38,"On-Time","Delayed"))</f>
        <v/>
      </c>
      <c r="O38" s="17">
        <f>IF(M38="","",NETWORKDAYS(K38,M38)-1)</f>
        <v/>
      </c>
      <c r="P38" s="18" t="inlineStr">
        <is>
          <t>Bring fixtures from Node tests.</t>
        </is>
      </c>
    </row>
    <row r="39" ht="28" customHeight="1">
      <c r="A39" s="17" t="inlineStr">
        <is>
          <t>W-036</t>
        </is>
      </c>
      <c r="B39" s="17" t="inlineStr">
        <is>
          <t>Phase 1</t>
        </is>
      </c>
      <c r="C39" s="18" t="inlineStr">
        <is>
          <t>QA</t>
        </is>
      </c>
      <c r="D39" s="18" t="inlineStr">
        <is>
          <t>Live integration test: Red Gold credential → real ticket pull → SharePoint test list write</t>
        </is>
      </c>
      <c r="E39" s="17" t="inlineStr">
        <is>
          <t>QA</t>
        </is>
      </c>
      <c r="F39" s="17" t="n">
        <v>16</v>
      </c>
      <c r="G39" s="19">
        <f>F39*$B$1</f>
        <v/>
      </c>
      <c r="H39" s="17" t="n">
        <v>3</v>
      </c>
      <c r="I39" s="17" t="inlineStr">
        <is>
          <t>Not Started</t>
        </is>
      </c>
      <c r="J39" s="20" t="n">
        <v>0</v>
      </c>
      <c r="K39" s="21" t="n">
        <v>46219</v>
      </c>
      <c r="L39" s="21" t="n">
        <v>46219</v>
      </c>
      <c r="M39" s="21" t="n"/>
      <c r="N39" s="17">
        <f>IF(M39="","",IF(M39&lt;=K39,"On-Time","Delayed"))</f>
        <v/>
      </c>
      <c r="O39" s="17">
        <f>IF(M39="","",NETWORKDAYS(K39,M39)-1)</f>
        <v/>
      </c>
      <c r="P39" s="18" t="inlineStr">
        <is>
          <t>Requires test Jira + SP tenant.</t>
        </is>
      </c>
    </row>
    <row r="40" ht="28" customHeight="1">
      <c r="A40" s="17" t="inlineStr">
        <is>
          <t>W-037</t>
        </is>
      </c>
      <c r="B40" s="17" t="inlineStr">
        <is>
          <t>Phase 1</t>
        </is>
      </c>
      <c r="C40" s="18" t="inlineStr">
        <is>
          <t>QA</t>
        </is>
      </c>
      <c r="D40" s="18" t="inlineStr">
        <is>
          <t>Live integration test: Flatiron MFA flow with headed Playwright + session restore</t>
        </is>
      </c>
      <c r="E40" s="17" t="inlineStr">
        <is>
          <t>QA</t>
        </is>
      </c>
      <c r="F40" s="17" t="n">
        <v>16</v>
      </c>
      <c r="G40" s="19">
        <f>F40*$B$1</f>
        <v/>
      </c>
      <c r="H40" s="17" t="n">
        <v>3</v>
      </c>
      <c r="I40" s="17" t="inlineStr">
        <is>
          <t>Not Started</t>
        </is>
      </c>
      <c r="J40" s="20" t="n">
        <v>0</v>
      </c>
      <c r="K40" s="21" t="n">
        <v>46219</v>
      </c>
      <c r="L40" s="21" t="n">
        <v>46219</v>
      </c>
      <c r="M40" s="21" t="n"/>
      <c r="N40" s="17">
        <f>IF(M40="","",IF(M40&lt;=K40,"On-Time","Delayed"))</f>
        <v/>
      </c>
      <c r="O40" s="17">
        <f>IF(M40="","",NETWORKDAYS(K40,M40)-1)</f>
        <v/>
      </c>
      <c r="P40" s="18" t="inlineStr">
        <is>
          <t>Capture screenshots on failure.</t>
        </is>
      </c>
    </row>
    <row r="41" ht="28" customHeight="1">
      <c r="A41" s="17" t="inlineStr">
        <is>
          <t>W-038</t>
        </is>
      </c>
      <c r="B41" s="17" t="inlineStr">
        <is>
          <t>Phase 1</t>
        </is>
      </c>
      <c r="C41" s="18" t="inlineStr">
        <is>
          <t>BA</t>
        </is>
      </c>
      <c r="D41" s="18" t="inlineStr">
        <is>
          <t>Acceptance test for Jira → SharePoint parity (records-in = records-out, no dupes)</t>
        </is>
      </c>
      <c r="E41" s="17" t="inlineStr">
        <is>
          <t>BA</t>
        </is>
      </c>
      <c r="F41" s="17" t="n">
        <v>10</v>
      </c>
      <c r="G41" s="19">
        <f>F41*$B$1</f>
        <v/>
      </c>
      <c r="H41" s="17" t="n">
        <v>3</v>
      </c>
      <c r="I41" s="17" t="inlineStr">
        <is>
          <t>Not Started</t>
        </is>
      </c>
      <c r="J41" s="20" t="n">
        <v>0</v>
      </c>
      <c r="K41" s="21" t="n">
        <v>46219</v>
      </c>
      <c r="L41" s="21" t="n">
        <v>46219</v>
      </c>
      <c r="M41" s="21" t="n"/>
      <c r="N41" s="17">
        <f>IF(M41="","",IF(M41&lt;=K41,"On-Time","Delayed"))</f>
        <v/>
      </c>
      <c r="O41" s="17">
        <f>IF(M41="","",NETWORKDAYS(K41,M41)-1)</f>
        <v/>
      </c>
      <c r="P41" s="18" t="inlineStr">
        <is>
          <t>Defines M2 milestone gate.</t>
        </is>
      </c>
    </row>
    <row r="42" ht="28" customHeight="1">
      <c r="A42" s="17" t="inlineStr">
        <is>
          <t>W-039</t>
        </is>
      </c>
      <c r="B42" s="17" t="inlineStr">
        <is>
          <t>Phase 1</t>
        </is>
      </c>
      <c r="C42" s="18" t="inlineStr">
        <is>
          <t>Vault</t>
        </is>
      </c>
      <c r="D42" s="18" t="inlineStr">
        <is>
          <t>Port CredentialService (AES-256-GCM, per-org key) to .NET — KeyDerivation.HKDF</t>
        </is>
      </c>
      <c r="E42" s="17" t="inlineStr">
        <is>
          <t>BE</t>
        </is>
      </c>
      <c r="F42" s="17" t="n">
        <v>16</v>
      </c>
      <c r="G42" s="19">
        <f>F42*$B$1</f>
        <v/>
      </c>
      <c r="H42" s="17" t="n">
        <v>4</v>
      </c>
      <c r="I42" s="17" t="inlineStr">
        <is>
          <t>Not Started</t>
        </is>
      </c>
      <c r="J42" s="20" t="n">
        <v>0</v>
      </c>
      <c r="K42" s="21" t="n">
        <v>46233</v>
      </c>
      <c r="L42" s="21" t="n">
        <v>46233</v>
      </c>
      <c r="M42" s="21" t="n"/>
      <c r="N42" s="17">
        <f>IF(M42="","",IF(M42&lt;=K42,"On-Time","Delayed"))</f>
        <v/>
      </c>
      <c r="O42" s="17">
        <f>IF(M42="","",NETWORKDAYS(K42,M42)-1)</f>
        <v/>
      </c>
      <c r="P42" s="18" t="inlineStr">
        <is>
          <t>Encrypted payload shape unchanged.</t>
        </is>
      </c>
    </row>
    <row r="43" ht="28" customHeight="1">
      <c r="A43" s="17" t="inlineStr">
        <is>
          <t>W-040</t>
        </is>
      </c>
      <c r="B43" s="17" t="inlineStr">
        <is>
          <t>Phase 1</t>
        </is>
      </c>
      <c r="C43" s="18" t="inlineStr">
        <is>
          <t>Vault</t>
        </is>
      </c>
      <c r="D43" s="18" t="inlineStr">
        <is>
          <t>Credentials API: POST /credentials, GET /credentials, GET /credentials/:id (metadata only)</t>
        </is>
      </c>
      <c r="E43" s="17" t="inlineStr">
        <is>
          <t>BE</t>
        </is>
      </c>
      <c r="F43" s="17" t="n">
        <v>12</v>
      </c>
      <c r="G43" s="19">
        <f>F43*$B$1</f>
        <v/>
      </c>
      <c r="H43" s="17" t="n">
        <v>4</v>
      </c>
      <c r="I43" s="17" t="inlineStr">
        <is>
          <t>Not Started</t>
        </is>
      </c>
      <c r="J43" s="20" t="n">
        <v>0</v>
      </c>
      <c r="K43" s="21" t="n">
        <v>46233</v>
      </c>
      <c r="L43" s="21" t="n">
        <v>46233</v>
      </c>
      <c r="M43" s="21" t="n"/>
      <c r="N43" s="17">
        <f>IF(M43="","",IF(M43&lt;=K43,"On-Time","Delayed"))</f>
        <v/>
      </c>
      <c r="O43" s="17">
        <f>IF(M43="","",NETWORKDAYS(K43,M43)-1)</f>
        <v/>
      </c>
      <c r="P43" s="18" t="inlineStr">
        <is>
          <t>Never return plaintext.</t>
        </is>
      </c>
    </row>
    <row r="44" ht="28" customHeight="1">
      <c r="A44" s="17" t="inlineStr">
        <is>
          <t>W-041</t>
        </is>
      </c>
      <c r="B44" s="17" t="inlineStr">
        <is>
          <t>Phase 1</t>
        </is>
      </c>
      <c r="C44" s="18" t="inlineStr">
        <is>
          <t>Scheduler</t>
        </is>
      </c>
      <c r="D44" s="18" t="inlineStr">
        <is>
          <t>Port SchedulerService from BullMQ → Quartz.NET cron with dynamic CRUD</t>
        </is>
      </c>
      <c r="E44" s="17" t="inlineStr">
        <is>
          <t>BE</t>
        </is>
      </c>
      <c r="F44" s="17" t="n">
        <v>24</v>
      </c>
      <c r="G44" s="19">
        <f>F44*$B$1</f>
        <v/>
      </c>
      <c r="H44" s="17" t="n">
        <v>4</v>
      </c>
      <c r="I44" s="17" t="inlineStr">
        <is>
          <t>Not Started</t>
        </is>
      </c>
      <c r="J44" s="20" t="n">
        <v>0</v>
      </c>
      <c r="K44" s="21" t="n">
        <v>46233</v>
      </c>
      <c r="L44" s="21" t="n">
        <v>46233</v>
      </c>
      <c r="M44" s="21" t="n"/>
      <c r="N44" s="17">
        <f>IF(M44="","",IF(M44&lt;=K44,"On-Time","Delayed"))</f>
        <v/>
      </c>
      <c r="O44" s="17">
        <f>IF(M44="","",NETWORKDAYS(K44,M44)-1)</f>
        <v/>
      </c>
      <c r="P44" s="18" t="inlineStr">
        <is>
          <t>Persistent job store on Postgres.</t>
        </is>
      </c>
    </row>
    <row r="45" ht="28" customHeight="1">
      <c r="A45" s="17" t="inlineStr">
        <is>
          <t>W-042</t>
        </is>
      </c>
      <c r="B45" s="17" t="inlineStr">
        <is>
          <t>Phase 1</t>
        </is>
      </c>
      <c r="C45" s="18" t="inlineStr">
        <is>
          <t>Runtime</t>
        </is>
      </c>
      <c r="D45" s="18" t="inlineStr">
        <is>
          <t>Run management: RunRecord + status state machine (pending/running/success/error)</t>
        </is>
      </c>
      <c r="E45" s="17" t="inlineStr">
        <is>
          <t>BE</t>
        </is>
      </c>
      <c r="F45" s="17" t="n">
        <v>16</v>
      </c>
      <c r="G45" s="19">
        <f>F45*$B$1</f>
        <v/>
      </c>
      <c r="H45" s="17" t="n">
        <v>4</v>
      </c>
      <c r="I45" s="17" t="inlineStr">
        <is>
          <t>Not Started</t>
        </is>
      </c>
      <c r="J45" s="20" t="n">
        <v>0</v>
      </c>
      <c r="K45" s="21" t="n">
        <v>46233</v>
      </c>
      <c r="L45" s="21" t="n">
        <v>46233</v>
      </c>
      <c r="M45" s="21" t="n"/>
      <c r="N45" s="17">
        <f>IF(M45="","",IF(M45&lt;=K45,"On-Time","Delayed"))</f>
        <v/>
      </c>
      <c r="O45" s="17">
        <f>IF(M45="","",NETWORKDAYS(K45,M45)-1)</f>
        <v/>
      </c>
      <c r="P45" s="18" t="inlineStr">
        <is>
          <t>Preserve records_in/records_out semantics.</t>
        </is>
      </c>
    </row>
    <row r="46" ht="28" customHeight="1">
      <c r="A46" s="17" t="inlineStr">
        <is>
          <t>W-043</t>
        </is>
      </c>
      <c r="B46" s="17" t="inlineStr">
        <is>
          <t>Phase 1</t>
        </is>
      </c>
      <c r="C46" s="18" t="inlineStr">
        <is>
          <t>Runtime</t>
        </is>
      </c>
      <c r="D46" s="18" t="inlineStr">
        <is>
          <t>Worker hosting: HostedService that owns Quartz + Playwright queues (concurrency=1 for browser)</t>
        </is>
      </c>
      <c r="E46" s="17" t="inlineStr">
        <is>
          <t>BE</t>
        </is>
      </c>
      <c r="F46" s="17" t="n">
        <v>20</v>
      </c>
      <c r="G46" s="19">
        <f>F46*$B$1</f>
        <v/>
      </c>
      <c r="H46" s="17" t="n">
        <v>4</v>
      </c>
      <c r="I46" s="17" t="inlineStr">
        <is>
          <t>Not Started</t>
        </is>
      </c>
      <c r="J46" s="20" t="n">
        <v>0</v>
      </c>
      <c r="K46" s="21" t="n">
        <v>46233</v>
      </c>
      <c r="L46" s="21" t="n">
        <v>46233</v>
      </c>
      <c r="M46" s="21" t="n"/>
      <c r="N46" s="17">
        <f>IF(M46="","",IF(M46&lt;=K46,"On-Time","Delayed"))</f>
        <v/>
      </c>
      <c r="O46" s="17">
        <f>IF(M46="","",NETWORKDAYS(K46,M46)-1)</f>
        <v/>
      </c>
      <c r="P46" s="18" t="inlineStr">
        <is>
          <t>Per CLAUDE.md §2.3.</t>
        </is>
      </c>
    </row>
    <row r="47" ht="28" customHeight="1">
      <c r="A47" s="17" t="inlineStr">
        <is>
          <t>W-044</t>
        </is>
      </c>
      <c r="B47" s="17" t="inlineStr">
        <is>
          <t>Phase 1</t>
        </is>
      </c>
      <c r="C47" s="18" t="inlineStr">
        <is>
          <t>API</t>
        </is>
      </c>
      <c r="D47" s="18" t="inlineStr">
        <is>
          <t>API parity: /integrations, /jira, /sharepoint, /push, /sync, /connected — Express routes → ASP.NET</t>
        </is>
      </c>
      <c r="E47" s="17" t="inlineStr">
        <is>
          <t>BE</t>
        </is>
      </c>
      <c r="F47" s="17" t="n">
        <v>32</v>
      </c>
      <c r="G47" s="19">
        <f>F47*$B$1</f>
        <v/>
      </c>
      <c r="H47" s="17" t="n">
        <v>4</v>
      </c>
      <c r="I47" s="17" t="inlineStr">
        <is>
          <t>Not Started</t>
        </is>
      </c>
      <c r="J47" s="20" t="n">
        <v>0</v>
      </c>
      <c r="K47" s="21" t="n">
        <v>46233</v>
      </c>
      <c r="L47" s="21" t="n">
        <v>46233</v>
      </c>
      <c r="M47" s="21" t="n"/>
      <c r="N47" s="17">
        <f>IF(M47="","",IF(M47&lt;=K47,"On-Time","Delayed"))</f>
        <v/>
      </c>
      <c r="O47" s="17">
        <f>IF(M47="","",NETWORKDAYS(K47,M47)-1)</f>
        <v/>
      </c>
      <c r="P47" s="18" t="inlineStr">
        <is>
          <t>Zod → FluentValidation. Same response envelope.</t>
        </is>
      </c>
    </row>
    <row r="48" ht="28" customHeight="1">
      <c r="A48" s="17" t="inlineStr">
        <is>
          <t>W-045</t>
        </is>
      </c>
      <c r="B48" s="17" t="inlineStr">
        <is>
          <t>Phase 1</t>
        </is>
      </c>
      <c r="C48" s="18" t="inlineStr">
        <is>
          <t>Security</t>
        </is>
      </c>
      <c r="D48" s="18" t="inlineStr">
        <is>
          <t>RBAC schema (roles enum) + users/orgs seed + JWT bearer middleware (org_id claim)</t>
        </is>
      </c>
      <c r="E48" s="17" t="inlineStr">
        <is>
          <t>BE</t>
        </is>
      </c>
      <c r="F48" s="17" t="n">
        <v>20</v>
      </c>
      <c r="G48" s="19">
        <f>F48*$B$1</f>
        <v/>
      </c>
      <c r="H48" s="17" t="n">
        <v>4</v>
      </c>
      <c r="I48" s="17" t="inlineStr">
        <is>
          <t>Not Started</t>
        </is>
      </c>
      <c r="J48" s="20" t="n">
        <v>0</v>
      </c>
      <c r="K48" s="21" t="n">
        <v>46233</v>
      </c>
      <c r="L48" s="21" t="n">
        <v>46233</v>
      </c>
      <c r="M48" s="21" t="n"/>
      <c r="N48" s="17">
        <f>IF(M48="","",IF(M48&lt;=K48,"On-Time","Delayed"))</f>
        <v/>
      </c>
      <c r="O48" s="17">
        <f>IF(M48="","",NETWORKDAYS(K48,M48)-1)</f>
        <v/>
      </c>
      <c r="P48" s="18" t="inlineStr">
        <is>
          <t>Cookie + Bearer; refresh tokens.</t>
        </is>
      </c>
    </row>
    <row r="49" ht="28" customHeight="1">
      <c r="A49" s="17" t="inlineStr">
        <is>
          <t>W-046</t>
        </is>
      </c>
      <c r="B49" s="17" t="inlineStr">
        <is>
          <t>Phase 1</t>
        </is>
      </c>
      <c r="C49" s="18" t="inlineStr">
        <is>
          <t>Security</t>
        </is>
      </c>
      <c r="D49" s="18" t="inlineStr">
        <is>
          <t>Row-level multi-tenancy: query filters by org_id on every entity (global EF filter)</t>
        </is>
      </c>
      <c r="E49" s="17" t="inlineStr">
        <is>
          <t>BE</t>
        </is>
      </c>
      <c r="F49" s="17" t="n">
        <v>16</v>
      </c>
      <c r="G49" s="19">
        <f>F49*$B$1</f>
        <v/>
      </c>
      <c r="H49" s="17" t="n">
        <v>4</v>
      </c>
      <c r="I49" s="17" t="inlineStr">
        <is>
          <t>Not Started</t>
        </is>
      </c>
      <c r="J49" s="20" t="n">
        <v>0</v>
      </c>
      <c r="K49" s="21" t="n">
        <v>46233</v>
      </c>
      <c r="L49" s="21" t="n">
        <v>46233</v>
      </c>
      <c r="M49" s="21" t="n"/>
      <c r="N49" s="17">
        <f>IF(M49="","",IF(M49&lt;=K49,"On-Time","Delayed"))</f>
        <v/>
      </c>
      <c r="O49" s="17">
        <f>IF(M49="","",NETWORKDAYS(K49,M49)-1)</f>
        <v/>
      </c>
      <c r="P49" s="18" t="inlineStr">
        <is>
          <t>HasQueryFilter pattern.</t>
        </is>
      </c>
    </row>
    <row r="50" ht="28" customHeight="1">
      <c r="A50" s="17" t="inlineStr">
        <is>
          <t>W-047</t>
        </is>
      </c>
      <c r="B50" s="17" t="inlineStr">
        <is>
          <t>Phase 1</t>
        </is>
      </c>
      <c r="C50" s="18" t="inlineStr">
        <is>
          <t>Alerts</t>
        </is>
      </c>
      <c r="D50" s="18" t="inlineStr">
        <is>
          <t>Basic alerts: failure detection in BackgroundService → write Alert row (in-app only)</t>
        </is>
      </c>
      <c r="E50" s="17" t="inlineStr">
        <is>
          <t>BE</t>
        </is>
      </c>
      <c r="F50" s="17" t="n">
        <v>16</v>
      </c>
      <c r="G50" s="19">
        <f>F50*$B$1</f>
        <v/>
      </c>
      <c r="H50" s="17" t="n">
        <v>4</v>
      </c>
      <c r="I50" s="17" t="inlineStr">
        <is>
          <t>Not Started</t>
        </is>
      </c>
      <c r="J50" s="20" t="n">
        <v>0</v>
      </c>
      <c r="K50" s="21" t="n">
        <v>46233</v>
      </c>
      <c r="L50" s="21" t="n">
        <v>46233</v>
      </c>
      <c r="M50" s="21" t="n"/>
      <c r="N50" s="17">
        <f>IF(M50="","",IF(M50&lt;=K50,"On-Time","Delayed"))</f>
        <v/>
      </c>
      <c r="O50" s="17">
        <f>IF(M50="","",NETWORKDAYS(K50,M50)-1)</f>
        <v/>
      </c>
      <c r="P50" s="18" t="inlineStr">
        <is>
          <t>Email/Slack deferred to Phase 2.</t>
        </is>
      </c>
    </row>
    <row r="51" ht="28" customHeight="1">
      <c r="A51" s="17" t="inlineStr">
        <is>
          <t>W-048</t>
        </is>
      </c>
      <c r="B51" s="17" t="inlineStr">
        <is>
          <t>Phase 1</t>
        </is>
      </c>
      <c r="C51" s="18" t="inlineStr">
        <is>
          <t>Audit</t>
        </is>
      </c>
      <c r="D51" s="18" t="inlineStr">
        <is>
          <t>Audit log middleware: write to audit_log on auth-sensitive routes (CRUD vault/integrations/users)</t>
        </is>
      </c>
      <c r="E51" s="17" t="inlineStr">
        <is>
          <t>BE</t>
        </is>
      </c>
      <c r="F51" s="17" t="n">
        <v>12</v>
      </c>
      <c r="G51" s="19">
        <f>F51*$B$1</f>
        <v/>
      </c>
      <c r="H51" s="17" t="n">
        <v>4</v>
      </c>
      <c r="I51" s="17" t="inlineStr">
        <is>
          <t>Not Started</t>
        </is>
      </c>
      <c r="J51" s="20" t="n">
        <v>0</v>
      </c>
      <c r="K51" s="21" t="n">
        <v>46233</v>
      </c>
      <c r="L51" s="21" t="n">
        <v>46233</v>
      </c>
      <c r="M51" s="21" t="n"/>
      <c r="N51" s="17">
        <f>IF(M51="","",IF(M51&lt;=K51,"On-Time","Delayed"))</f>
        <v/>
      </c>
      <c r="O51" s="17">
        <f>IF(M51="","",NETWORKDAYS(K51,M51)-1)</f>
        <v/>
      </c>
      <c r="P51" s="18" t="inlineStr">
        <is>
          <t>Append-only; before/after diff.</t>
        </is>
      </c>
    </row>
    <row r="52" ht="28" customHeight="1">
      <c r="A52" s="17" t="inlineStr">
        <is>
          <t>W-049</t>
        </is>
      </c>
      <c r="B52" s="17" t="inlineStr">
        <is>
          <t>Phase 1</t>
        </is>
      </c>
      <c r="C52" s="18" t="inlineStr">
        <is>
          <t>QA</t>
        </is>
      </c>
      <c r="D52" s="18" t="inlineStr">
        <is>
          <t>Unit tests: AES-256-GCM round-trip + JWT claims + RLS query filter</t>
        </is>
      </c>
      <c r="E52" s="17" t="inlineStr">
        <is>
          <t>QA</t>
        </is>
      </c>
      <c r="F52" s="17" t="n">
        <v>16</v>
      </c>
      <c r="G52" s="19">
        <f>F52*$B$1</f>
        <v/>
      </c>
      <c r="H52" s="17" t="n">
        <v>4</v>
      </c>
      <c r="I52" s="17" t="inlineStr">
        <is>
          <t>Not Started</t>
        </is>
      </c>
      <c r="J52" s="20" t="n">
        <v>0</v>
      </c>
      <c r="K52" s="21" t="n">
        <v>46233</v>
      </c>
      <c r="L52" s="21" t="n">
        <v>46233</v>
      </c>
      <c r="M52" s="21" t="n"/>
      <c r="N52" s="17">
        <f>IF(M52="","",IF(M52&lt;=K52,"On-Time","Delayed"))</f>
        <v/>
      </c>
      <c r="O52" s="17">
        <f>IF(M52="","",NETWORKDAYS(K52,M52)-1)</f>
        <v/>
      </c>
      <c r="P52" s="18" t="inlineStr">
        <is>
          <t>Wrong-key throws, expired token rejects.</t>
        </is>
      </c>
    </row>
    <row r="53" ht="28" customHeight="1">
      <c r="A53" s="17" t="inlineStr">
        <is>
          <t>W-050</t>
        </is>
      </c>
      <c r="B53" s="17" t="inlineStr">
        <is>
          <t>Phase 1</t>
        </is>
      </c>
      <c r="C53" s="18" t="inlineStr">
        <is>
          <t>QA</t>
        </is>
      </c>
      <c r="D53" s="18" t="inlineStr">
        <is>
          <t>API contract tests vs old Node API (parity oracle)</t>
        </is>
      </c>
      <c r="E53" s="17" t="inlineStr">
        <is>
          <t>QA</t>
        </is>
      </c>
      <c r="F53" s="17" t="n">
        <v>20</v>
      </c>
      <c r="G53" s="19">
        <f>F53*$B$1</f>
        <v/>
      </c>
      <c r="H53" s="17" t="n">
        <v>4</v>
      </c>
      <c r="I53" s="17" t="inlineStr">
        <is>
          <t>Not Started</t>
        </is>
      </c>
      <c r="J53" s="20" t="n">
        <v>0</v>
      </c>
      <c r="K53" s="21" t="n">
        <v>46233</v>
      </c>
      <c r="L53" s="21" t="n">
        <v>46233</v>
      </c>
      <c r="M53" s="21" t="n"/>
      <c r="N53" s="17">
        <f>IF(M53="","",IF(M53&lt;=K53,"On-Time","Delayed"))</f>
        <v/>
      </c>
      <c r="O53" s="17">
        <f>IF(M53="","",NETWORKDAYS(K53,M53)-1)</f>
        <v/>
      </c>
      <c r="P53" s="18" t="inlineStr">
        <is>
          <t>Postman/RestAssured replay.</t>
        </is>
      </c>
    </row>
    <row r="54" ht="28" customHeight="1">
      <c r="A54" s="17" t="inlineStr">
        <is>
          <t>W-051</t>
        </is>
      </c>
      <c r="B54" s="17" t="inlineStr">
        <is>
          <t>Phase 1</t>
        </is>
      </c>
      <c r="C54" s="18" t="inlineStr">
        <is>
          <t>BA</t>
        </is>
      </c>
      <c r="D54" s="18" t="inlineStr">
        <is>
          <t>RBAC permission matrix sign-off (Admin / Designer / Operator / Viewer per Charter §5.8.2 table)</t>
        </is>
      </c>
      <c r="E54" s="17" t="inlineStr">
        <is>
          <t>BA</t>
        </is>
      </c>
      <c r="F54" s="17" t="n">
        <v>10</v>
      </c>
      <c r="G54" s="19">
        <f>F54*$B$1</f>
        <v/>
      </c>
      <c r="H54" s="17" t="n">
        <v>4</v>
      </c>
      <c r="I54" s="17" t="inlineStr">
        <is>
          <t>Not Started</t>
        </is>
      </c>
      <c r="J54" s="20" t="n">
        <v>0</v>
      </c>
      <c r="K54" s="21" t="n">
        <v>46233</v>
      </c>
      <c r="L54" s="21" t="n">
        <v>46233</v>
      </c>
      <c r="M54" s="21" t="n"/>
      <c r="N54" s="17">
        <f>IF(M54="","",IF(M54&lt;=K54,"On-Time","Delayed"))</f>
        <v/>
      </c>
      <c r="O54" s="17">
        <f>IF(M54="","",NETWORKDAYS(K54,M54)-1)</f>
        <v/>
      </c>
      <c r="P54" s="18" t="inlineStr">
        <is>
          <t>Permission grid is the source of truth.</t>
        </is>
      </c>
    </row>
    <row r="55" ht="28" customHeight="1">
      <c r="A55" s="17" t="inlineStr">
        <is>
          <t>W-052</t>
        </is>
      </c>
      <c r="B55" s="17" t="inlineStr">
        <is>
          <t>Phase 1</t>
        </is>
      </c>
      <c r="C55" s="18" t="inlineStr">
        <is>
          <t>Frontend</t>
        </is>
      </c>
      <c r="D55" s="18" t="inlineStr">
        <is>
          <t>Login screen + Auth.js integration (calls .NET JWT endpoint, stores in HttpOnly cookie)</t>
        </is>
      </c>
      <c r="E55" s="17" t="inlineStr">
        <is>
          <t>FE</t>
        </is>
      </c>
      <c r="F55" s="17" t="n">
        <v>16</v>
      </c>
      <c r="G55" s="19">
        <f>F55*$B$1</f>
        <v/>
      </c>
      <c r="H55" s="17" t="n">
        <v>5</v>
      </c>
      <c r="I55" s="17" t="inlineStr">
        <is>
          <t>Not Started</t>
        </is>
      </c>
      <c r="J55" s="20" t="n">
        <v>0</v>
      </c>
      <c r="K55" s="21" t="n">
        <v>46247</v>
      </c>
      <c r="L55" s="21" t="n">
        <v>46247</v>
      </c>
      <c r="M55" s="21" t="n"/>
      <c r="N55" s="17">
        <f>IF(M55="","",IF(M55&lt;=K55,"On-Time","Delayed"))</f>
        <v/>
      </c>
      <c r="O55" s="17">
        <f>IF(M55="","",NETWORKDAYS(K55,M55)-1)</f>
        <v/>
      </c>
      <c r="P55" s="18" t="inlineStr">
        <is>
          <t>First time real auth ships.</t>
        </is>
      </c>
    </row>
    <row r="56" ht="28" customHeight="1">
      <c r="A56" s="17" t="inlineStr">
        <is>
          <t>W-053</t>
        </is>
      </c>
      <c r="B56" s="17" t="inlineStr">
        <is>
          <t>Phase 1</t>
        </is>
      </c>
      <c r="C56" s="18" t="inlineStr">
        <is>
          <t>Frontend</t>
        </is>
      </c>
      <c r="D56" s="18" t="inlineStr">
        <is>
          <t>Wire Dashboard: remove mockDashboardTiles, fetch /integrations + /runs, real KPI cards</t>
        </is>
      </c>
      <c r="E56" s="17" t="inlineStr">
        <is>
          <t>FE</t>
        </is>
      </c>
      <c r="F56" s="17" t="n">
        <v>12</v>
      </c>
      <c r="G56" s="19">
        <f>F56*$B$1</f>
        <v/>
      </c>
      <c r="H56" s="17" t="n">
        <v>5</v>
      </c>
      <c r="I56" s="17" t="inlineStr">
        <is>
          <t>Not Started</t>
        </is>
      </c>
      <c r="J56" s="20" t="n">
        <v>0</v>
      </c>
      <c r="K56" s="21" t="n">
        <v>46247</v>
      </c>
      <c r="L56" s="21" t="n">
        <v>46247</v>
      </c>
      <c r="M56" s="21" t="n"/>
      <c r="N56" s="17">
        <f>IF(M56="","",IF(M56&lt;=K56,"On-Time","Delayed"))</f>
        <v/>
      </c>
      <c r="O56" s="17">
        <f>IF(M56="","",NETWORKDAYS(K56,M56)-1)</f>
        <v/>
      </c>
      <c r="P56" s="18" t="inlineStr">
        <is>
          <t>Add loading + empty states.</t>
        </is>
      </c>
    </row>
    <row r="57" ht="28" customHeight="1">
      <c r="A57" s="17" t="inlineStr">
        <is>
          <t>W-054</t>
        </is>
      </c>
      <c r="B57" s="17" t="inlineStr">
        <is>
          <t>Phase 1</t>
        </is>
      </c>
      <c r="C57" s="18" t="inlineStr">
        <is>
          <t>Frontend</t>
        </is>
      </c>
      <c r="D57" s="18" t="inlineStr">
        <is>
          <t>Wire Registry: real /integrations list + sparklines from /runs</t>
        </is>
      </c>
      <c r="E57" s="17" t="inlineStr">
        <is>
          <t>FE</t>
        </is>
      </c>
      <c r="F57" s="17" t="n">
        <v>10</v>
      </c>
      <c r="G57" s="19">
        <f>F57*$B$1</f>
        <v/>
      </c>
      <c r="H57" s="17" t="n">
        <v>5</v>
      </c>
      <c r="I57" s="17" t="inlineStr">
        <is>
          <t>Not Started</t>
        </is>
      </c>
      <c r="J57" s="20" t="n">
        <v>0</v>
      </c>
      <c r="K57" s="21" t="n">
        <v>46247</v>
      </c>
      <c r="L57" s="21" t="n">
        <v>46247</v>
      </c>
      <c r="M57" s="21" t="n"/>
      <c r="N57" s="17">
        <f>IF(M57="","",IF(M57&lt;=K57,"On-Time","Delayed"))</f>
        <v/>
      </c>
      <c r="O57" s="17">
        <f>IF(M57="","",NETWORKDAYS(K57,M57)-1)</f>
        <v/>
      </c>
      <c r="P57" s="18" t="inlineStr">
        <is>
          <t>Replace mock integrations.js.</t>
        </is>
      </c>
    </row>
    <row r="58" ht="28" customHeight="1">
      <c r="A58" s="17" t="inlineStr">
        <is>
          <t>W-055</t>
        </is>
      </c>
      <c r="B58" s="17" t="inlineStr">
        <is>
          <t>Phase 1</t>
        </is>
      </c>
      <c r="C58" s="18" t="inlineStr">
        <is>
          <t>Frontend</t>
        </is>
      </c>
      <c r="D58" s="18" t="inlineStr">
        <is>
          <t>Wire Monitor: real /runs + expandable row with /runs/:id detail (payload + mapping trace)</t>
        </is>
      </c>
      <c r="E58" s="17" t="inlineStr">
        <is>
          <t>FE</t>
        </is>
      </c>
      <c r="F58" s="17" t="n">
        <v>14</v>
      </c>
      <c r="G58" s="19">
        <f>F58*$B$1</f>
        <v/>
      </c>
      <c r="H58" s="17" t="n">
        <v>5</v>
      </c>
      <c r="I58" s="17" t="inlineStr">
        <is>
          <t>Not Started</t>
        </is>
      </c>
      <c r="J58" s="20" t="n">
        <v>0</v>
      </c>
      <c r="K58" s="21" t="n">
        <v>46247</v>
      </c>
      <c r="L58" s="21" t="n">
        <v>46247</v>
      </c>
      <c r="M58" s="21" t="n"/>
      <c r="N58" s="17">
        <f>IF(M58="","",IF(M58&lt;=K58,"On-Time","Delayed"))</f>
        <v/>
      </c>
      <c r="O58" s="17">
        <f>IF(M58="","",NETWORKDAYS(K58,M58)-1)</f>
        <v/>
      </c>
      <c r="P58" s="18" t="inlineStr">
        <is>
          <t>Largest table — paginate.</t>
        </is>
      </c>
    </row>
    <row r="59" ht="28" customHeight="1">
      <c r="A59" s="17" t="inlineStr">
        <is>
          <t>W-056</t>
        </is>
      </c>
      <c r="B59" s="17" t="inlineStr">
        <is>
          <t>Phase 1</t>
        </is>
      </c>
      <c r="C59" s="18" t="inlineStr">
        <is>
          <t>Frontend</t>
        </is>
      </c>
      <c r="D59" s="18" t="inlineStr">
        <is>
          <t>Wire Alerts: real /alerts list + acknowledge action POST /alerts/:id/ack</t>
        </is>
      </c>
      <c r="E59" s="17" t="inlineStr">
        <is>
          <t>FE</t>
        </is>
      </c>
      <c r="F59" s="17" t="n">
        <v>8</v>
      </c>
      <c r="G59" s="19">
        <f>F59*$B$1</f>
        <v/>
      </c>
      <c r="H59" s="17" t="n">
        <v>5</v>
      </c>
      <c r="I59" s="17" t="inlineStr">
        <is>
          <t>Not Started</t>
        </is>
      </c>
      <c r="J59" s="20" t="n">
        <v>0</v>
      </c>
      <c r="K59" s="21" t="n">
        <v>46247</v>
      </c>
      <c r="L59" s="21" t="n">
        <v>46247</v>
      </c>
      <c r="M59" s="21" t="n"/>
      <c r="N59" s="17">
        <f>IF(M59="","",IF(M59&lt;=K59,"On-Time","Delayed"))</f>
        <v/>
      </c>
      <c r="O59" s="17">
        <f>IF(M59="","",NETWORKDAYS(K59,M59)-1)</f>
        <v/>
      </c>
      <c r="P59" s="18" t="inlineStr">
        <is>
          <t>Severity sort.</t>
        </is>
      </c>
    </row>
    <row r="60" ht="28" customHeight="1">
      <c r="A60" s="17" t="inlineStr">
        <is>
          <t>W-057</t>
        </is>
      </c>
      <c r="B60" s="17" t="inlineStr">
        <is>
          <t>Phase 1</t>
        </is>
      </c>
      <c r="C60" s="18" t="inlineStr">
        <is>
          <t>Frontend</t>
        </is>
      </c>
      <c r="D60" s="18" t="inlineStr">
        <is>
          <t>Wire Vault: real /credentials (masked) + add/rotate flow with eye-icon reveal (10s auto-hide)</t>
        </is>
      </c>
      <c r="E60" s="17" t="inlineStr">
        <is>
          <t>FE</t>
        </is>
      </c>
      <c r="F60" s="17" t="n">
        <v>12</v>
      </c>
      <c r="G60" s="19">
        <f>F60*$B$1</f>
        <v/>
      </c>
      <c r="H60" s="17" t="n">
        <v>5</v>
      </c>
      <c r="I60" s="17" t="inlineStr">
        <is>
          <t>Not Started</t>
        </is>
      </c>
      <c r="J60" s="20" t="n">
        <v>0</v>
      </c>
      <c r="K60" s="21" t="n">
        <v>46247</v>
      </c>
      <c r="L60" s="21" t="n">
        <v>46247</v>
      </c>
      <c r="M60" s="21" t="n"/>
      <c r="N60" s="17">
        <f>IF(M60="","",IF(M60&lt;=K60,"On-Time","Delayed"))</f>
        <v/>
      </c>
      <c r="O60" s="17">
        <f>IF(M60="","",NETWORKDAYS(K60,M60)-1)</f>
        <v/>
      </c>
      <c r="P60" s="18" t="inlineStr">
        <is>
          <t>Per Charter §5.9.</t>
        </is>
      </c>
    </row>
    <row r="61" ht="28" customHeight="1">
      <c r="A61" s="17" t="inlineStr">
        <is>
          <t>W-058</t>
        </is>
      </c>
      <c r="B61" s="17" t="inlineStr">
        <is>
          <t>Phase 1</t>
        </is>
      </c>
      <c r="C61" s="18" t="inlineStr">
        <is>
          <t>Frontend</t>
        </is>
      </c>
      <c r="D61" s="18" t="inlineStr">
        <is>
          <t>Wire Connected: real /connected list + schedule modal hooked to PATCH schedule</t>
        </is>
      </c>
      <c r="E61" s="17" t="inlineStr">
        <is>
          <t>FE</t>
        </is>
      </c>
      <c r="F61" s="17" t="n">
        <v>10</v>
      </c>
      <c r="G61" s="19">
        <f>F61*$B$1</f>
        <v/>
      </c>
      <c r="H61" s="17" t="n">
        <v>5</v>
      </c>
      <c r="I61" s="17" t="inlineStr">
        <is>
          <t>Not Started</t>
        </is>
      </c>
      <c r="J61" s="20" t="n">
        <v>0</v>
      </c>
      <c r="K61" s="21" t="n">
        <v>46247</v>
      </c>
      <c r="L61" s="21" t="n">
        <v>46247</v>
      </c>
      <c r="M61" s="21" t="n"/>
      <c r="N61" s="17">
        <f>IF(M61="","",IF(M61&lt;=K61,"On-Time","Delayed"))</f>
        <v/>
      </c>
      <c r="O61" s="17">
        <f>IF(M61="","",NETWORKDAYS(K61,M61)-1)</f>
        <v/>
      </c>
      <c r="P61" s="18" t="inlineStr">
        <is>
          <t>Cron presets unchanged.</t>
        </is>
      </c>
    </row>
    <row r="62" ht="28" customHeight="1">
      <c r="A62" s="17" t="inlineStr">
        <is>
          <t>W-059</t>
        </is>
      </c>
      <c r="B62" s="17" t="inlineStr">
        <is>
          <t>Phase 1</t>
        </is>
      </c>
      <c r="C62" s="18" t="inlineStr">
        <is>
          <t>Frontend</t>
        </is>
      </c>
      <c r="D62" s="18" t="inlineStr">
        <is>
          <t>Wire Push: real POST /push call + dedup modal from server response</t>
        </is>
      </c>
      <c r="E62" s="17" t="inlineStr">
        <is>
          <t>FE</t>
        </is>
      </c>
      <c r="F62" s="17" t="n">
        <v>10</v>
      </c>
      <c r="G62" s="19">
        <f>F62*$B$1</f>
        <v/>
      </c>
      <c r="H62" s="17" t="n">
        <v>5</v>
      </c>
      <c r="I62" s="17" t="inlineStr">
        <is>
          <t>Not Started</t>
        </is>
      </c>
      <c r="J62" s="20" t="n">
        <v>0</v>
      </c>
      <c r="K62" s="21" t="n">
        <v>46247</v>
      </c>
      <c r="L62" s="21" t="n">
        <v>46247</v>
      </c>
      <c r="M62" s="21" t="n"/>
      <c r="N62" s="17">
        <f>IF(M62="","",IF(M62&lt;=K62,"On-Time","Delayed"))</f>
        <v/>
      </c>
      <c r="O62" s="17">
        <f>IF(M62="","",NETWORKDAYS(K62,M62)-1)</f>
        <v/>
      </c>
      <c r="P62" s="18" t="inlineStr">
        <is>
          <t>Surface server-side dedup.</t>
        </is>
      </c>
    </row>
    <row r="63" ht="28" customHeight="1">
      <c r="A63" s="17" t="inlineStr">
        <is>
          <t>W-060</t>
        </is>
      </c>
      <c r="B63" s="17" t="inlineStr">
        <is>
          <t>Phase 1</t>
        </is>
      </c>
      <c r="C63" s="18" t="inlineStr">
        <is>
          <t>Frontend</t>
        </is>
      </c>
      <c r="D63" s="18" t="inlineStr">
        <is>
          <t>Wire Admin: real /users CRUD + role edit + activate/deactivate</t>
        </is>
      </c>
      <c r="E63" s="17" t="inlineStr">
        <is>
          <t>FE</t>
        </is>
      </c>
      <c r="F63" s="17" t="n">
        <v>12</v>
      </c>
      <c r="G63" s="19">
        <f>F63*$B$1</f>
        <v/>
      </c>
      <c r="H63" s="17" t="n">
        <v>5</v>
      </c>
      <c r="I63" s="17" t="inlineStr">
        <is>
          <t>Not Started</t>
        </is>
      </c>
      <c r="J63" s="20" t="n">
        <v>0</v>
      </c>
      <c r="K63" s="21" t="n">
        <v>46247</v>
      </c>
      <c r="L63" s="21" t="n">
        <v>46247</v>
      </c>
      <c r="M63" s="21" t="n"/>
      <c r="N63" s="17">
        <f>IF(M63="","",IF(M63&lt;=K63,"On-Time","Delayed"))</f>
        <v/>
      </c>
      <c r="O63" s="17">
        <f>IF(M63="","",NETWORKDAYS(K63,M63)-1)</f>
        <v/>
      </c>
      <c r="P63" s="18" t="inlineStr">
        <is>
          <t>Soft delete only.</t>
        </is>
      </c>
    </row>
    <row r="64" ht="28" customHeight="1">
      <c r="A64" s="17" t="inlineStr">
        <is>
          <t>W-061</t>
        </is>
      </c>
      <c r="B64" s="17" t="inlineStr">
        <is>
          <t>Phase 1</t>
        </is>
      </c>
      <c r="C64" s="18" t="inlineStr">
        <is>
          <t>Frontend</t>
        </is>
      </c>
      <c r="D64" s="18" t="inlineStr">
        <is>
          <t>Wizard Step 4 (Mapping): replace redirect stub with inline canvas + commit to integration</t>
        </is>
      </c>
      <c r="E64" s="17" t="inlineStr">
        <is>
          <t>FE</t>
        </is>
      </c>
      <c r="F64" s="17" t="n">
        <v>16</v>
      </c>
      <c r="G64" s="19">
        <f>F64*$B$1</f>
        <v/>
      </c>
      <c r="H64" s="17" t="n">
        <v>5</v>
      </c>
      <c r="I64" s="17" t="inlineStr">
        <is>
          <t>Not Started</t>
        </is>
      </c>
      <c r="J64" s="20" t="n">
        <v>0</v>
      </c>
      <c r="K64" s="21" t="n">
        <v>46247</v>
      </c>
      <c r="L64" s="21" t="n">
        <v>46247</v>
      </c>
      <c r="M64" s="21" t="n"/>
      <c r="N64" s="17">
        <f>IF(M64="","",IF(M64&lt;=K64,"On-Time","Delayed"))</f>
        <v/>
      </c>
      <c r="O64" s="17">
        <f>IF(M64="","",NETWORKDAYS(K64,M64)-1)</f>
        <v/>
      </c>
      <c r="P64" s="18" t="inlineStr">
        <is>
          <t>Largest wizard fix.</t>
        </is>
      </c>
    </row>
    <row r="65" ht="28" customHeight="1">
      <c r="A65" s="17" t="inlineStr">
        <is>
          <t>W-062</t>
        </is>
      </c>
      <c r="B65" s="17" t="inlineStr">
        <is>
          <t>Phase 1</t>
        </is>
      </c>
      <c r="C65" s="18" t="inlineStr">
        <is>
          <t>Frontend</t>
        </is>
      </c>
      <c r="D65" s="18" t="inlineStr">
        <is>
          <t>Wizard Step 6 (Test &amp; Deploy): actual test execution via /integrations/:id/run + publish flow</t>
        </is>
      </c>
      <c r="E65" s="17" t="inlineStr">
        <is>
          <t>FE</t>
        </is>
      </c>
      <c r="F65" s="17" t="n">
        <v>12</v>
      </c>
      <c r="G65" s="19">
        <f>F65*$B$1</f>
        <v/>
      </c>
      <c r="H65" s="17" t="n">
        <v>5</v>
      </c>
      <c r="I65" s="17" t="inlineStr">
        <is>
          <t>Not Started</t>
        </is>
      </c>
      <c r="J65" s="20" t="n">
        <v>0</v>
      </c>
      <c r="K65" s="21" t="n">
        <v>46247</v>
      </c>
      <c r="L65" s="21" t="n">
        <v>46247</v>
      </c>
      <c r="M65" s="21" t="n"/>
      <c r="N65" s="17">
        <f>IF(M65="","",IF(M65&lt;=K65,"On-Time","Delayed"))</f>
        <v/>
      </c>
      <c r="O65" s="17">
        <f>IF(M65="","",NETWORKDAYS(K65,M65)-1)</f>
        <v/>
      </c>
      <c r="P65" s="18" t="inlineStr">
        <is>
          <t>Hard gate per Charter §5.2.</t>
        </is>
      </c>
    </row>
    <row r="66" ht="28" customHeight="1">
      <c r="A66" s="17" t="inlineStr">
        <is>
          <t>W-063</t>
        </is>
      </c>
      <c r="B66" s="17" t="inlineStr">
        <is>
          <t>Phase 1</t>
        </is>
      </c>
      <c r="C66" s="18" t="inlineStr">
        <is>
          <t>Frontend</t>
        </is>
      </c>
      <c r="D66" s="18" t="inlineStr">
        <is>
          <t>Studio page: enable Test Connection + Publish buttons + wire to /connectors endpoints</t>
        </is>
      </c>
      <c r="E66" s="17" t="inlineStr">
        <is>
          <t>FE</t>
        </is>
      </c>
      <c r="F66" s="17" t="n">
        <v>16</v>
      </c>
      <c r="G66" s="19">
        <f>F66*$B$1</f>
        <v/>
      </c>
      <c r="H66" s="17" t="n">
        <v>5</v>
      </c>
      <c r="I66" s="17" t="inlineStr">
        <is>
          <t>Not Started</t>
        </is>
      </c>
      <c r="J66" s="20" t="n">
        <v>0</v>
      </c>
      <c r="K66" s="21" t="n">
        <v>46247</v>
      </c>
      <c r="L66" s="21" t="n">
        <v>46247</v>
      </c>
      <c r="M66" s="21" t="n"/>
      <c r="N66" s="17">
        <f>IF(M66="","",IF(M66&lt;=K66,"On-Time","Delayed"))</f>
        <v/>
      </c>
      <c r="O66" s="17">
        <f>IF(M66="","",NETWORKDAYS(K66,M66)-1)</f>
        <v/>
      </c>
      <c r="P66" s="18" t="inlineStr">
        <is>
          <t>Companion backend in BE row below.</t>
        </is>
      </c>
    </row>
    <row r="67" ht="28" customHeight="1">
      <c r="A67" s="17" t="inlineStr">
        <is>
          <t>W-064</t>
        </is>
      </c>
      <c r="B67" s="17" t="inlineStr">
        <is>
          <t>Phase 1</t>
        </is>
      </c>
      <c r="C67" s="18" t="inlineStr">
        <is>
          <t>Frontend</t>
        </is>
      </c>
      <c r="D67" s="18" t="inlineStr">
        <is>
          <t>Charts: replace hardcoded SVG with Recharts wired to /runs aggregates (volume + error trend)</t>
        </is>
      </c>
      <c r="E67" s="17" t="inlineStr">
        <is>
          <t>FE</t>
        </is>
      </c>
      <c r="F67" s="17" t="n">
        <v>14</v>
      </c>
      <c r="G67" s="19">
        <f>F67*$B$1</f>
        <v/>
      </c>
      <c r="H67" s="17" t="n">
        <v>5</v>
      </c>
      <c r="I67" s="17" t="inlineStr">
        <is>
          <t>Not Started</t>
        </is>
      </c>
      <c r="J67" s="20" t="n">
        <v>0</v>
      </c>
      <c r="K67" s="21" t="n">
        <v>46247</v>
      </c>
      <c r="L67" s="21" t="n">
        <v>46247</v>
      </c>
      <c r="M67" s="21" t="n"/>
      <c r="N67" s="17">
        <f>IF(M67="","",IF(M67&lt;=K67,"On-Time","Delayed"))</f>
        <v/>
      </c>
      <c r="O67" s="17">
        <f>IF(M67="","",NETWORKDAYS(K67,M67)-1)</f>
        <v/>
      </c>
      <c r="P67" s="18" t="inlineStr">
        <is>
          <t>Use SIS-P1 5-second rule layout.</t>
        </is>
      </c>
    </row>
    <row r="68" ht="28" customHeight="1">
      <c r="A68" s="17" t="inlineStr">
        <is>
          <t>W-065</t>
        </is>
      </c>
      <c r="B68" s="17" t="inlineStr">
        <is>
          <t>Phase 1</t>
        </is>
      </c>
      <c r="C68" s="18" t="inlineStr">
        <is>
          <t>Frontend</t>
        </is>
      </c>
      <c r="D68" s="18" t="inlineStr">
        <is>
          <t>Loading states + error toasts + Zod form validation across all pages</t>
        </is>
      </c>
      <c r="E68" s="17" t="inlineStr">
        <is>
          <t>FE</t>
        </is>
      </c>
      <c r="F68" s="17" t="n">
        <v>16</v>
      </c>
      <c r="G68" s="19">
        <f>F68*$B$1</f>
        <v/>
      </c>
      <c r="H68" s="17" t="n">
        <v>5</v>
      </c>
      <c r="I68" s="17" t="inlineStr">
        <is>
          <t>Not Started</t>
        </is>
      </c>
      <c r="J68" s="20" t="n">
        <v>0</v>
      </c>
      <c r="K68" s="21" t="n">
        <v>46247</v>
      </c>
      <c r="L68" s="21" t="n">
        <v>46247</v>
      </c>
      <c r="M68" s="21" t="n"/>
      <c r="N68" s="17">
        <f>IF(M68="","",IF(M68&lt;=K68,"On-Time","Delayed"))</f>
        <v/>
      </c>
      <c r="O68" s="17">
        <f>IF(M68="","",NETWORKDAYS(K68,M68)-1)</f>
        <v/>
      </c>
      <c r="P68" s="18" t="inlineStr">
        <is>
          <t>Cross-cutting cleanup.</t>
        </is>
      </c>
    </row>
    <row r="69" ht="28" customHeight="1">
      <c r="A69" s="17" t="inlineStr">
        <is>
          <t>W-066</t>
        </is>
      </c>
      <c r="B69" s="17" t="inlineStr">
        <is>
          <t>Phase 1</t>
        </is>
      </c>
      <c r="C69" s="18" t="inlineStr">
        <is>
          <t>Backend</t>
        </is>
      </c>
      <c r="D69" s="18" t="inlineStr">
        <is>
          <t>Connectors CRUD API (/connectors POST/GET/PUT/publish) for Studio page</t>
        </is>
      </c>
      <c r="E69" s="17" t="inlineStr">
        <is>
          <t>BE</t>
        </is>
      </c>
      <c r="F69" s="17" t="n">
        <v>20</v>
      </c>
      <c r="G69" s="19">
        <f>F69*$B$1</f>
        <v/>
      </c>
      <c r="H69" s="17" t="n">
        <v>5</v>
      </c>
      <c r="I69" s="17" t="inlineStr">
        <is>
          <t>Not Started</t>
        </is>
      </c>
      <c r="J69" s="20" t="n">
        <v>0</v>
      </c>
      <c r="K69" s="21" t="n">
        <v>46247</v>
      </c>
      <c r="L69" s="21" t="n">
        <v>46247</v>
      </c>
      <c r="M69" s="21" t="n"/>
      <c r="N69" s="17">
        <f>IF(M69="","",IF(M69&lt;=K69,"On-Time","Delayed"))</f>
        <v/>
      </c>
      <c r="O69" s="17">
        <f>IF(M69="","",NETWORKDAYS(K69,M69)-1)</f>
        <v/>
      </c>
      <c r="P69" s="18" t="inlineStr">
        <is>
          <t>Use existing connectors table.</t>
        </is>
      </c>
    </row>
    <row r="70" ht="28" customHeight="1">
      <c r="A70" s="17" t="inlineStr">
        <is>
          <t>W-067</t>
        </is>
      </c>
      <c r="B70" s="17" t="inlineStr">
        <is>
          <t>Phase 1</t>
        </is>
      </c>
      <c r="C70" s="18" t="inlineStr">
        <is>
          <t>QA</t>
        </is>
      </c>
      <c r="D70" s="18" t="inlineStr">
        <is>
          <t>E2E test suite (Playwright Test): login → create integration → run → view in monitor</t>
        </is>
      </c>
      <c r="E70" s="17" t="inlineStr">
        <is>
          <t>QA</t>
        </is>
      </c>
      <c r="F70" s="17" t="n">
        <v>24</v>
      </c>
      <c r="G70" s="19">
        <f>F70*$B$1</f>
        <v/>
      </c>
      <c r="H70" s="17" t="n">
        <v>5</v>
      </c>
      <c r="I70" s="17" t="inlineStr">
        <is>
          <t>Not Started</t>
        </is>
      </c>
      <c r="J70" s="20" t="n">
        <v>0</v>
      </c>
      <c r="K70" s="21" t="n">
        <v>46247</v>
      </c>
      <c r="L70" s="21" t="n">
        <v>46247</v>
      </c>
      <c r="M70" s="21" t="n"/>
      <c r="N70" s="17">
        <f>IF(M70="","",IF(M70&lt;=K70,"On-Time","Delayed"))</f>
        <v/>
      </c>
      <c r="O70" s="17">
        <f>IF(M70="","",NETWORKDAYS(K70,M70)-1)</f>
        <v/>
      </c>
      <c r="P70" s="18" t="inlineStr">
        <is>
          <t>Per CLAUDE.md §12.</t>
        </is>
      </c>
    </row>
    <row r="71" ht="28" customHeight="1">
      <c r="A71" s="17" t="inlineStr">
        <is>
          <t>W-068</t>
        </is>
      </c>
      <c r="B71" s="17" t="inlineStr">
        <is>
          <t>Phase 1</t>
        </is>
      </c>
      <c r="C71" s="18" t="inlineStr">
        <is>
          <t>QA</t>
        </is>
      </c>
      <c r="D71" s="18" t="inlineStr">
        <is>
          <t>Regression: full Jira→SP run, schedule fire, vault rotate, dedup behaviour</t>
        </is>
      </c>
      <c r="E71" s="17" t="inlineStr">
        <is>
          <t>QA</t>
        </is>
      </c>
      <c r="F71" s="17" t="n">
        <v>16</v>
      </c>
      <c r="G71" s="19">
        <f>F71*$B$1</f>
        <v/>
      </c>
      <c r="H71" s="17" t="n">
        <v>5</v>
      </c>
      <c r="I71" s="17" t="inlineStr">
        <is>
          <t>Not Started</t>
        </is>
      </c>
      <c r="J71" s="20" t="n">
        <v>0</v>
      </c>
      <c r="K71" s="21" t="n">
        <v>46247</v>
      </c>
      <c r="L71" s="21" t="n">
        <v>46247</v>
      </c>
      <c r="M71" s="21" t="n"/>
      <c r="N71" s="17">
        <f>IF(M71="","",IF(M71&lt;=K71,"On-Time","Delayed"))</f>
        <v/>
      </c>
      <c r="O71" s="17">
        <f>IF(M71="","",NETWORKDAYS(K71,M71)-1)</f>
        <v/>
      </c>
      <c r="P71" s="18" t="inlineStr">
        <is>
          <t>Smoke + critical paths.</t>
        </is>
      </c>
    </row>
    <row r="72" ht="28" customHeight="1">
      <c r="A72" s="17" t="inlineStr">
        <is>
          <t>W-069</t>
        </is>
      </c>
      <c r="B72" s="17" t="inlineStr">
        <is>
          <t>Phase 1</t>
        </is>
      </c>
      <c r="C72" s="18" t="inlineStr">
        <is>
          <t>QA</t>
        </is>
      </c>
      <c r="D72" s="18" t="inlineStr">
        <is>
          <t>Security review: OWASP top 10 + credential vault threat model + JWT settings</t>
        </is>
      </c>
      <c r="E72" s="17" t="inlineStr">
        <is>
          <t>QA</t>
        </is>
      </c>
      <c r="F72" s="17" t="n">
        <v>16</v>
      </c>
      <c r="G72" s="19">
        <f>F72*$B$1</f>
        <v/>
      </c>
      <c r="H72" s="17" t="n">
        <v>5</v>
      </c>
      <c r="I72" s="17" t="inlineStr">
        <is>
          <t>Not Started</t>
        </is>
      </c>
      <c r="J72" s="20" t="n">
        <v>0</v>
      </c>
      <c r="K72" s="21" t="n">
        <v>46247</v>
      </c>
      <c r="L72" s="21" t="n">
        <v>46247</v>
      </c>
      <c r="M72" s="21" t="n"/>
      <c r="N72" s="17">
        <f>IF(M72="","",IF(M72&lt;=K72,"On-Time","Delayed"))</f>
        <v/>
      </c>
      <c r="O72" s="17">
        <f>IF(M72="","",NETWORKDAYS(K72,M72)-1)</f>
        <v/>
      </c>
      <c r="P72" s="18" t="inlineStr">
        <is>
          <t>Hard gate before UAT.</t>
        </is>
      </c>
    </row>
    <row r="73" ht="28" customHeight="1">
      <c r="A73" s="17" t="inlineStr">
        <is>
          <t>W-070</t>
        </is>
      </c>
      <c r="B73" s="17" t="inlineStr">
        <is>
          <t>Phase 1</t>
        </is>
      </c>
      <c r="C73" s="18" t="inlineStr">
        <is>
          <t>BA</t>
        </is>
      </c>
      <c r="D73" s="18" t="inlineStr">
        <is>
          <t>MVP UAT planning + test scenarios + stakeholder schedule</t>
        </is>
      </c>
      <c r="E73" s="17" t="inlineStr">
        <is>
          <t>BA</t>
        </is>
      </c>
      <c r="F73" s="17" t="n">
        <v>16</v>
      </c>
      <c r="G73" s="19">
        <f>F73*$B$1</f>
        <v/>
      </c>
      <c r="H73" s="17" t="n">
        <v>5</v>
      </c>
      <c r="I73" s="17" t="inlineStr">
        <is>
          <t>Not Started</t>
        </is>
      </c>
      <c r="J73" s="20" t="n">
        <v>0</v>
      </c>
      <c r="K73" s="21" t="n">
        <v>46247</v>
      </c>
      <c r="L73" s="21" t="n">
        <v>46247</v>
      </c>
      <c r="M73" s="21" t="n"/>
      <c r="N73" s="17">
        <f>IF(M73="","",IF(M73&lt;=K73,"On-Time","Delayed"))</f>
        <v/>
      </c>
      <c r="O73" s="17">
        <f>IF(M73="","",NETWORKDAYS(K73,M73)-1)</f>
        <v/>
      </c>
      <c r="P73" s="18" t="inlineStr">
        <is>
          <t>Coordinate with all module owners.</t>
        </is>
      </c>
    </row>
    <row r="74" ht="28" customHeight="1">
      <c r="A74" s="17" t="inlineStr">
        <is>
          <t>W-071</t>
        </is>
      </c>
      <c r="B74" s="17" t="inlineStr">
        <is>
          <t>Phase 1</t>
        </is>
      </c>
      <c r="C74" s="18" t="inlineStr">
        <is>
          <t>BA</t>
        </is>
      </c>
      <c r="D74" s="18" t="inlineStr">
        <is>
          <t>MVP UAT execution + signoff coordination</t>
        </is>
      </c>
      <c r="E74" s="17" t="inlineStr">
        <is>
          <t>BA</t>
        </is>
      </c>
      <c r="F74" s="17" t="n">
        <v>20</v>
      </c>
      <c r="G74" s="19">
        <f>F74*$B$1</f>
        <v/>
      </c>
      <c r="H74" s="17" t="n">
        <v>5</v>
      </c>
      <c r="I74" s="17" t="inlineStr">
        <is>
          <t>Not Started</t>
        </is>
      </c>
      <c r="J74" s="20" t="n">
        <v>0</v>
      </c>
      <c r="K74" s="21" t="n">
        <v>46247</v>
      </c>
      <c r="L74" s="21" t="n">
        <v>46247</v>
      </c>
      <c r="M74" s="21" t="n"/>
      <c r="N74" s="17">
        <f>IF(M74="","",IF(M74&lt;=K74,"On-Time","Delayed"))</f>
        <v/>
      </c>
      <c r="O74" s="17">
        <f>IF(M74="","",NETWORKDAYS(K74,M74)-1)</f>
        <v/>
      </c>
      <c r="P74" s="18" t="inlineStr">
        <is>
          <t>M5 milestone owner.</t>
        </is>
      </c>
    </row>
    <row r="75" ht="28" customHeight="1">
      <c r="A75" s="17" t="inlineStr">
        <is>
          <t>W-072</t>
        </is>
      </c>
      <c r="B75" s="17" t="inlineStr">
        <is>
          <t>Phase 1</t>
        </is>
      </c>
      <c r="C75" s="18" t="inlineStr">
        <is>
          <t>DevOps</t>
        </is>
      </c>
      <c r="D75" s="18" t="inlineStr">
        <is>
          <t>Stage env deploy: containers + Postgres + Redis + smoke health check</t>
        </is>
      </c>
      <c r="E75" s="17" t="inlineStr">
        <is>
          <t>DevOps</t>
        </is>
      </c>
      <c r="F75" s="17" t="n">
        <v>12</v>
      </c>
      <c r="G75" s="19">
        <f>F75*$B$1</f>
        <v/>
      </c>
      <c r="H75" s="17" t="n">
        <v>5</v>
      </c>
      <c r="I75" s="17" t="inlineStr">
        <is>
          <t>Not Started</t>
        </is>
      </c>
      <c r="J75" s="20" t="n">
        <v>0</v>
      </c>
      <c r="K75" s="21" t="n">
        <v>46247</v>
      </c>
      <c r="L75" s="21" t="n">
        <v>46247</v>
      </c>
      <c r="M75" s="21" t="n"/>
      <c r="N75" s="17">
        <f>IF(M75="","",IF(M75&lt;=K75,"On-Time","Delayed"))</f>
        <v/>
      </c>
      <c r="O75" s="17">
        <f>IF(M75="","",NETWORKDAYS(K75,M75)-1)</f>
        <v/>
      </c>
      <c r="P75" s="18" t="inlineStr">
        <is>
          <t>Stage = production rehearsal.</t>
        </is>
      </c>
    </row>
    <row r="76" ht="28" customHeight="1">
      <c r="A76" s="17" t="inlineStr">
        <is>
          <t>W-073</t>
        </is>
      </c>
      <c r="B76" s="17" t="inlineStr">
        <is>
          <t>Phase 1</t>
        </is>
      </c>
      <c r="C76" s="18" t="inlineStr">
        <is>
          <t>DevOps</t>
        </is>
      </c>
      <c r="D76" s="18" t="inlineStr">
        <is>
          <t>Structured logging (Serilog) + correlation IDs + log shipping</t>
        </is>
      </c>
      <c r="E76" s="17" t="inlineStr">
        <is>
          <t>DevOps</t>
        </is>
      </c>
      <c r="F76" s="17" t="n">
        <v>8</v>
      </c>
      <c r="G76" s="19">
        <f>F76*$B$1</f>
        <v/>
      </c>
      <c r="H76" s="17" t="n">
        <v>5</v>
      </c>
      <c r="I76" s="17" t="inlineStr">
        <is>
          <t>Not Started</t>
        </is>
      </c>
      <c r="J76" s="20" t="n">
        <v>0</v>
      </c>
      <c r="K76" s="21" t="n">
        <v>46247</v>
      </c>
      <c r="L76" s="21" t="n">
        <v>46247</v>
      </c>
      <c r="M76" s="21" t="n"/>
      <c r="N76" s="17">
        <f>IF(M76="","",IF(M76&lt;=K76,"On-Time","Delayed"))</f>
        <v/>
      </c>
      <c r="O76" s="17">
        <f>IF(M76="","",NETWORKDAYS(K76,M76)-1)</f>
        <v/>
      </c>
      <c r="P76" s="18" t="inlineStr">
        <is>
          <t>Per Architecture §6 envelope CorrelationId.</t>
        </is>
      </c>
    </row>
    <row r="77" ht="28" customHeight="1">
      <c r="A77" s="17" t="inlineStr">
        <is>
          <t>W-074</t>
        </is>
      </c>
      <c r="B77" s="17" t="inlineStr">
        <is>
          <t>Phase 2</t>
        </is>
      </c>
      <c r="C77" s="18" t="inlineStr">
        <is>
          <t>AI</t>
        </is>
      </c>
      <c r="D77" s="18" t="inlineStr">
        <is>
          <t>AI Auto-Mapping service: schema-aware prompt to Claude API + confidence score per pair</t>
        </is>
      </c>
      <c r="E77" s="17" t="inlineStr">
        <is>
          <t>BE</t>
        </is>
      </c>
      <c r="F77" s="17" t="n">
        <v>32</v>
      </c>
      <c r="G77" s="19">
        <f>F77*$B$1</f>
        <v/>
      </c>
      <c r="H77" s="17" t="n">
        <v>6</v>
      </c>
      <c r="I77" s="17" t="inlineStr">
        <is>
          <t>Not Started</t>
        </is>
      </c>
      <c r="J77" s="20" t="n">
        <v>0</v>
      </c>
      <c r="K77" s="21" t="n">
        <v>46261</v>
      </c>
      <c r="L77" s="21" t="n">
        <v>46261</v>
      </c>
      <c r="M77" s="21" t="n"/>
      <c r="N77" s="17">
        <f>IF(M77="","",IF(M77&lt;=K77,"On-Time","Delayed"))</f>
        <v/>
      </c>
      <c r="O77" s="17">
        <f>IF(M77="","",NETWORKDAYS(K77,M77)-1)</f>
        <v/>
      </c>
      <c r="P77" s="18" t="inlineStr">
        <is>
          <t>Per Charter §5.3.2 + D2 decision.</t>
        </is>
      </c>
    </row>
    <row r="78" ht="28" customHeight="1">
      <c r="A78" s="17" t="inlineStr">
        <is>
          <t>W-075</t>
        </is>
      </c>
      <c r="B78" s="17" t="inlineStr">
        <is>
          <t>Phase 2</t>
        </is>
      </c>
      <c r="C78" s="18" t="inlineStr">
        <is>
          <t>AI</t>
        </is>
      </c>
      <c r="D78" s="18" t="inlineStr">
        <is>
          <t>Persist suggestion review state (suggested / confirmed / rejected / adjusted) per integration</t>
        </is>
      </c>
      <c r="E78" s="17" t="inlineStr">
        <is>
          <t>BE</t>
        </is>
      </c>
      <c r="F78" s="17" t="n">
        <v>12</v>
      </c>
      <c r="G78" s="19">
        <f>F78*$B$1</f>
        <v/>
      </c>
      <c r="H78" s="17" t="n">
        <v>6</v>
      </c>
      <c r="I78" s="17" t="inlineStr">
        <is>
          <t>Not Started</t>
        </is>
      </c>
      <c r="J78" s="20" t="n">
        <v>0</v>
      </c>
      <c r="K78" s="21" t="n">
        <v>46261</v>
      </c>
      <c r="L78" s="21" t="n">
        <v>46261</v>
      </c>
      <c r="M78" s="21" t="n"/>
      <c r="N78" s="17">
        <f>IF(M78="","",IF(M78&lt;=K78,"On-Time","Delayed"))</f>
        <v/>
      </c>
      <c r="O78" s="17">
        <f>IF(M78="","",NETWORKDAYS(K78,M78)-1)</f>
        <v/>
      </c>
      <c r="P78" s="18" t="inlineStr">
        <is>
          <t>New table or JSONB on integration row.</t>
        </is>
      </c>
    </row>
    <row r="79" ht="28" customHeight="1">
      <c r="A79" s="17" t="inlineStr">
        <is>
          <t>W-076</t>
        </is>
      </c>
      <c r="B79" s="17" t="inlineStr">
        <is>
          <t>Phase 2</t>
        </is>
      </c>
      <c r="C79" s="18" t="inlineStr">
        <is>
          <t>AI</t>
        </is>
      </c>
      <c r="D79" s="18" t="inlineStr">
        <is>
          <t>NL Transformation builder: NL → expression (Roslyn script for .NET; sandboxed)</t>
        </is>
      </c>
      <c r="E79" s="17" t="inlineStr">
        <is>
          <t>BE</t>
        </is>
      </c>
      <c r="F79" s="17" t="n">
        <v>32</v>
      </c>
      <c r="G79" s="19">
        <f>F79*$B$1</f>
        <v/>
      </c>
      <c r="H79" s="17" t="n">
        <v>6</v>
      </c>
      <c r="I79" s="17" t="inlineStr">
        <is>
          <t>Not Started</t>
        </is>
      </c>
      <c r="J79" s="20" t="n">
        <v>0</v>
      </c>
      <c r="K79" s="21" t="n">
        <v>46261</v>
      </c>
      <c r="L79" s="21" t="n">
        <v>46261</v>
      </c>
      <c r="M79" s="21" t="n"/>
      <c r="N79" s="17">
        <f>IF(M79="","",IF(M79&lt;=K79,"On-Time","Delayed"))</f>
        <v/>
      </c>
      <c r="O79" s="17">
        <f>IF(M79="","",NETWORKDAYS(K79,M79)-1)</f>
        <v/>
      </c>
      <c r="P79" s="18" t="inlineStr">
        <is>
          <t>Sandboxed compilation; allow-list types.</t>
        </is>
      </c>
    </row>
    <row r="80" ht="28" customHeight="1">
      <c r="A80" s="17" t="inlineStr">
        <is>
          <t>W-077</t>
        </is>
      </c>
      <c r="B80" s="17" t="inlineStr">
        <is>
          <t>Phase 2</t>
        </is>
      </c>
      <c r="C80" s="18" t="inlineStr">
        <is>
          <t>Frontend</t>
        </is>
      </c>
      <c r="D80" s="18" t="inlineStr">
        <is>
          <t>Mapping Canvas: AI Auto-Map button + dashed-line suggestions + confidence badges + confirm/reject</t>
        </is>
      </c>
      <c r="E80" s="17" t="inlineStr">
        <is>
          <t>FE</t>
        </is>
      </c>
      <c r="F80" s="17" t="n">
        <v>24</v>
      </c>
      <c r="G80" s="19">
        <f>F80*$B$1</f>
        <v/>
      </c>
      <c r="H80" s="17" t="n">
        <v>6</v>
      </c>
      <c r="I80" s="17" t="inlineStr">
        <is>
          <t>Not Started</t>
        </is>
      </c>
      <c r="J80" s="20" t="n">
        <v>0</v>
      </c>
      <c r="K80" s="21" t="n">
        <v>46261</v>
      </c>
      <c r="L80" s="21" t="n">
        <v>46261</v>
      </c>
      <c r="M80" s="21" t="n"/>
      <c r="N80" s="17">
        <f>IF(M80="","",IF(M80&lt;=K80,"On-Time","Delayed"))</f>
        <v/>
      </c>
      <c r="O80" s="17">
        <f>IF(M80="","",NETWORKDAYS(K80,M80)-1)</f>
        <v/>
      </c>
      <c r="P80" s="18" t="inlineStr">
        <is>
          <t>Per Charter §5.3.2 visual spec.</t>
        </is>
      </c>
    </row>
    <row r="81" ht="28" customHeight="1">
      <c r="A81" s="17" t="inlineStr">
        <is>
          <t>W-078</t>
        </is>
      </c>
      <c r="B81" s="17" t="inlineStr">
        <is>
          <t>Phase 2</t>
        </is>
      </c>
      <c r="C81" s="18" t="inlineStr">
        <is>
          <t>Frontend</t>
        </is>
      </c>
      <c r="D81" s="18" t="inlineStr">
        <is>
          <t>Transformation slide-up panel: presets + NL input + AI-generated script preview</t>
        </is>
      </c>
      <c r="E81" s="17" t="inlineStr">
        <is>
          <t>FE</t>
        </is>
      </c>
      <c r="F81" s="17" t="n">
        <v>20</v>
      </c>
      <c r="G81" s="19">
        <f>F81*$B$1</f>
        <v/>
      </c>
      <c r="H81" s="17" t="n">
        <v>6</v>
      </c>
      <c r="I81" s="17" t="inlineStr">
        <is>
          <t>Not Started</t>
        </is>
      </c>
      <c r="J81" s="20" t="n">
        <v>0</v>
      </c>
      <c r="K81" s="21" t="n">
        <v>46261</v>
      </c>
      <c r="L81" s="21" t="n">
        <v>46261</v>
      </c>
      <c r="M81" s="21" t="n"/>
      <c r="N81" s="17">
        <f>IF(M81="","",IF(M81&lt;=K81,"On-Time","Delayed"))</f>
        <v/>
      </c>
      <c r="O81" s="17">
        <f>IF(M81="","",NETWORKDAYS(K81,M81)-1)</f>
        <v/>
      </c>
      <c r="P81" s="18" t="inlineStr">
        <is>
          <t>Per Charter §5.3.3.</t>
        </is>
      </c>
    </row>
    <row r="82" ht="28" customHeight="1">
      <c r="A82" s="17" t="inlineStr">
        <is>
          <t>W-079</t>
        </is>
      </c>
      <c r="B82" s="17" t="inlineStr">
        <is>
          <t>Phase 2</t>
        </is>
      </c>
      <c r="C82" s="18" t="inlineStr">
        <is>
          <t>QA</t>
        </is>
      </c>
      <c r="D82" s="18" t="inlineStr">
        <is>
          <t>AI test set: 50-pair mapping fixtures, measure auto-map accuracy vs &gt;70% target</t>
        </is>
      </c>
      <c r="E82" s="17" t="inlineStr">
        <is>
          <t>QA</t>
        </is>
      </c>
      <c r="F82" s="17" t="n">
        <v>16</v>
      </c>
      <c r="G82" s="19">
        <f>F82*$B$1</f>
        <v/>
      </c>
      <c r="H82" s="17" t="n">
        <v>6</v>
      </c>
      <c r="I82" s="17" t="inlineStr">
        <is>
          <t>Not Started</t>
        </is>
      </c>
      <c r="J82" s="20" t="n">
        <v>0</v>
      </c>
      <c r="K82" s="21" t="n">
        <v>46261</v>
      </c>
      <c r="L82" s="21" t="n">
        <v>46261</v>
      </c>
      <c r="M82" s="21" t="n"/>
      <c r="N82" s="17">
        <f>IF(M82="","",IF(M82&lt;=K82,"On-Time","Delayed"))</f>
        <v/>
      </c>
      <c r="O82" s="17">
        <f>IF(M82="","",NETWORKDAYS(K82,M82)-1)</f>
        <v/>
      </c>
      <c r="P82" s="18" t="inlineStr">
        <is>
          <t>Charter §10 success metric.</t>
        </is>
      </c>
    </row>
    <row r="83" ht="28" customHeight="1">
      <c r="A83" s="17" t="inlineStr">
        <is>
          <t>W-080</t>
        </is>
      </c>
      <c r="B83" s="17" t="inlineStr">
        <is>
          <t>Phase 2</t>
        </is>
      </c>
      <c r="C83" s="18" t="inlineStr">
        <is>
          <t>BA</t>
        </is>
      </c>
      <c r="D83" s="18" t="inlineStr">
        <is>
          <t>AI mapping acceptance criteria + fallback rules (always require human confirmation)</t>
        </is>
      </c>
      <c r="E83" s="17" t="inlineStr">
        <is>
          <t>BA</t>
        </is>
      </c>
      <c r="F83" s="17" t="n">
        <v>10</v>
      </c>
      <c r="G83" s="19">
        <f>F83*$B$1</f>
        <v/>
      </c>
      <c r="H83" s="17" t="n">
        <v>6</v>
      </c>
      <c r="I83" s="17" t="inlineStr">
        <is>
          <t>Not Started</t>
        </is>
      </c>
      <c r="J83" s="20" t="n">
        <v>0</v>
      </c>
      <c r="K83" s="21" t="n">
        <v>46261</v>
      </c>
      <c r="L83" s="21" t="n">
        <v>46261</v>
      </c>
      <c r="M83" s="21" t="n"/>
      <c r="N83" s="17">
        <f>IF(M83="","",IF(M83&lt;=K83,"On-Time","Delayed"))</f>
        <v/>
      </c>
      <c r="O83" s="17">
        <f>IF(M83="","",NETWORKDAYS(K83,M83)-1)</f>
        <v/>
      </c>
      <c r="P83" s="18" t="inlineStr">
        <is>
          <t>Charter §11 risk mitigation.</t>
        </is>
      </c>
    </row>
    <row r="84" ht="28" customHeight="1">
      <c r="A84" s="17" t="inlineStr">
        <is>
          <t>W-081</t>
        </is>
      </c>
      <c r="B84" s="17" t="inlineStr">
        <is>
          <t>Phase 2</t>
        </is>
      </c>
      <c r="C84" s="18" t="inlineStr">
        <is>
          <t>Monitoring</t>
        </is>
      </c>
      <c r="D84" s="18" t="inlineStr">
        <is>
          <t>Trading Network Console backend: /messages query with payload + transform trace per message</t>
        </is>
      </c>
      <c r="E84" s="17" t="inlineStr">
        <is>
          <t>BE</t>
        </is>
      </c>
      <c r="F84" s="17" t="n">
        <v>24</v>
      </c>
      <c r="G84" s="19">
        <f>F84*$B$1</f>
        <v/>
      </c>
      <c r="H84" s="17" t="n">
        <v>7</v>
      </c>
      <c r="I84" s="17" t="inlineStr">
        <is>
          <t>Not Started</t>
        </is>
      </c>
      <c r="J84" s="20" t="n">
        <v>0</v>
      </c>
      <c r="K84" s="21" t="n">
        <v>46275</v>
      </c>
      <c r="L84" s="21" t="n">
        <v>46275</v>
      </c>
      <c r="M84" s="21" t="n"/>
      <c r="N84" s="17">
        <f>IF(M84="","",IF(M84&lt;=K84,"On-Time","Delayed"))</f>
        <v/>
      </c>
      <c r="O84" s="17">
        <f>IF(M84="","",NETWORKDAYS(K84,M84)-1)</f>
        <v/>
      </c>
      <c r="P84" s="18" t="inlineStr">
        <is>
          <t>Heavy read — paginate aggressively.</t>
        </is>
      </c>
    </row>
    <row r="85" ht="28" customHeight="1">
      <c r="A85" s="17" t="inlineStr">
        <is>
          <t>W-082</t>
        </is>
      </c>
      <c r="B85" s="17" t="inlineStr">
        <is>
          <t>Phase 2</t>
        </is>
      </c>
      <c r="C85" s="18" t="inlineStr">
        <is>
          <t>Frontend</t>
        </is>
      </c>
      <c r="D85" s="18" t="inlineStr">
        <is>
          <t>Trading Console UI: table + expandable rows (JSON syntax-highlight, mapping trace, error stack)</t>
        </is>
      </c>
      <c r="E85" s="17" t="inlineStr">
        <is>
          <t>FE</t>
        </is>
      </c>
      <c r="F85" s="17" t="n">
        <v>24</v>
      </c>
      <c r="G85" s="19">
        <f>F85*$B$1</f>
        <v/>
      </c>
      <c r="H85" s="17" t="n">
        <v>7</v>
      </c>
      <c r="I85" s="17" t="inlineStr">
        <is>
          <t>Not Started</t>
        </is>
      </c>
      <c r="J85" s="20" t="n">
        <v>0</v>
      </c>
      <c r="K85" s="21" t="n">
        <v>46275</v>
      </c>
      <c r="L85" s="21" t="n">
        <v>46275</v>
      </c>
      <c r="M85" s="21" t="n"/>
      <c r="N85" s="17">
        <f>IF(M85="","",IF(M85&lt;=K85,"On-Time","Delayed"))</f>
        <v/>
      </c>
      <c r="O85" s="17">
        <f>IF(M85="","",NETWORKDAYS(K85,M85)-1)</f>
        <v/>
      </c>
      <c r="P85" s="18" t="inlineStr">
        <is>
          <t>Per Charter §5.6.</t>
        </is>
      </c>
    </row>
    <row r="86" ht="28" customHeight="1">
      <c r="A86" s="17" t="inlineStr">
        <is>
          <t>W-083</t>
        </is>
      </c>
      <c r="B86" s="17" t="inlineStr">
        <is>
          <t>Phase 2</t>
        </is>
      </c>
      <c r="C86" s="18" t="inlineStr">
        <is>
          <t>Monitoring</t>
        </is>
      </c>
      <c r="D86" s="18" t="inlineStr">
        <is>
          <t>Health Dashboard backend: /metrics aggregations (per-adapter status, volume, error trend)</t>
        </is>
      </c>
      <c r="E86" s="17" t="inlineStr">
        <is>
          <t>BE</t>
        </is>
      </c>
      <c r="F86" s="17" t="n">
        <v>20</v>
      </c>
      <c r="G86" s="19">
        <f>F86*$B$1</f>
        <v/>
      </c>
      <c r="H86" s="17" t="n">
        <v>7</v>
      </c>
      <c r="I86" s="17" t="inlineStr">
        <is>
          <t>Not Started</t>
        </is>
      </c>
      <c r="J86" s="20" t="n">
        <v>0</v>
      </c>
      <c r="K86" s="21" t="n">
        <v>46275</v>
      </c>
      <c r="L86" s="21" t="n">
        <v>46275</v>
      </c>
      <c r="M86" s="21" t="n"/>
      <c r="N86" s="17">
        <f>IF(M86="","",IF(M86&lt;=K86,"On-Time","Delayed"))</f>
        <v/>
      </c>
      <c r="O86" s="17">
        <f>IF(M86="","",NETWORKDAYS(K86,M86)-1)</f>
        <v/>
      </c>
      <c r="P86" s="18" t="inlineStr">
        <is>
          <t>Materialized view if needed.</t>
        </is>
      </c>
    </row>
    <row r="87" ht="28" customHeight="1">
      <c r="A87" s="17" t="inlineStr">
        <is>
          <t>W-084</t>
        </is>
      </c>
      <c r="B87" s="17" t="inlineStr">
        <is>
          <t>Phase 2</t>
        </is>
      </c>
      <c r="C87" s="18" t="inlineStr">
        <is>
          <t>Frontend</t>
        </is>
      </c>
      <c r="D87" s="18" t="inlineStr">
        <is>
          <t>Health Dashboard UI: adapter tiles + volume stacked-bar + error trend line + drill-down</t>
        </is>
      </c>
      <c r="E87" s="17" t="inlineStr">
        <is>
          <t>FE</t>
        </is>
      </c>
      <c r="F87" s="17" t="n">
        <v>24</v>
      </c>
      <c r="G87" s="19">
        <f>F87*$B$1</f>
        <v/>
      </c>
      <c r="H87" s="17" t="n">
        <v>7</v>
      </c>
      <c r="I87" s="17" t="inlineStr">
        <is>
          <t>Not Started</t>
        </is>
      </c>
      <c r="J87" s="20" t="n">
        <v>0</v>
      </c>
      <c r="K87" s="21" t="n">
        <v>46275</v>
      </c>
      <c r="L87" s="21" t="n">
        <v>46275</v>
      </c>
      <c r="M87" s="21" t="n"/>
      <c r="N87" s="17">
        <f>IF(M87="","",IF(M87&lt;=K87,"On-Time","Delayed"))</f>
        <v/>
      </c>
      <c r="O87" s="17">
        <f>IF(M87="","",NETWORKDAYS(K87,M87)-1)</f>
        <v/>
      </c>
      <c r="P87" s="18" t="inlineStr">
        <is>
          <t>Real data; replace mock dashboardTiles.js.</t>
        </is>
      </c>
    </row>
    <row r="88" ht="28" customHeight="1">
      <c r="A88" s="17" t="inlineStr">
        <is>
          <t>W-085</t>
        </is>
      </c>
      <c r="B88" s="17" t="inlineStr">
        <is>
          <t>Phase 2</t>
        </is>
      </c>
      <c r="C88" s="18" t="inlineStr">
        <is>
          <t>Frontend</t>
        </is>
      </c>
      <c r="D88" s="18" t="inlineStr">
        <is>
          <t>Real-time refresh (SSE) for Trading Console + Health Dashboard pages</t>
        </is>
      </c>
      <c r="E88" s="17" t="inlineStr">
        <is>
          <t>FE</t>
        </is>
      </c>
      <c r="F88" s="17" t="n">
        <v>16</v>
      </c>
      <c r="G88" s="19">
        <f>F88*$B$1</f>
        <v/>
      </c>
      <c r="H88" s="17" t="n">
        <v>7</v>
      </c>
      <c r="I88" s="17" t="inlineStr">
        <is>
          <t>Not Started</t>
        </is>
      </c>
      <c r="J88" s="20" t="n">
        <v>0</v>
      </c>
      <c r="K88" s="21" t="n">
        <v>46275</v>
      </c>
      <c r="L88" s="21" t="n">
        <v>46275</v>
      </c>
      <c r="M88" s="21" t="n"/>
      <c r="N88" s="17">
        <f>IF(M88="","",IF(M88&lt;=K88,"On-Time","Delayed"))</f>
        <v/>
      </c>
      <c r="O88" s="17">
        <f>IF(M88="","",NETWORKDAYS(K88,M88)-1)</f>
        <v/>
      </c>
      <c r="P88" s="18" t="inlineStr">
        <is>
          <t>Pause button per Charter §5.6.</t>
        </is>
      </c>
    </row>
    <row r="89" ht="28" customHeight="1">
      <c r="A89" s="17" t="inlineStr">
        <is>
          <t>W-086</t>
        </is>
      </c>
      <c r="B89" s="17" t="inlineStr">
        <is>
          <t>Phase 2</t>
        </is>
      </c>
      <c r="C89" s="18" t="inlineStr">
        <is>
          <t>QA</t>
        </is>
      </c>
      <c r="D89" s="18" t="inlineStr">
        <is>
          <t>Perf test: 4-worker Parallel mode @ 100 msg/s for 1 hour — verify 3x throughput vs Serial</t>
        </is>
      </c>
      <c r="E89" s="17" t="inlineStr">
        <is>
          <t>QA</t>
        </is>
      </c>
      <c r="F89" s="17" t="n">
        <v>16</v>
      </c>
      <c r="G89" s="19">
        <f>F89*$B$1</f>
        <v/>
      </c>
      <c r="H89" s="17" t="n">
        <v>7</v>
      </c>
      <c r="I89" s="17" t="inlineStr">
        <is>
          <t>Not Started</t>
        </is>
      </c>
      <c r="J89" s="20" t="n">
        <v>0</v>
      </c>
      <c r="K89" s="21" t="n">
        <v>46275</v>
      </c>
      <c r="L89" s="21" t="n">
        <v>46275</v>
      </c>
      <c r="M89" s="21" t="n"/>
      <c r="N89" s="17">
        <f>IF(M89="","",IF(M89&lt;=K89,"On-Time","Delayed"))</f>
        <v/>
      </c>
      <c r="O89" s="17">
        <f>IF(M89="","",NETWORKDAYS(K89,M89)-1)</f>
        <v/>
      </c>
      <c r="P89" s="18" t="inlineStr">
        <is>
          <t>Per Architecture §7.1 claim.</t>
        </is>
      </c>
    </row>
    <row r="90" ht="28" customHeight="1">
      <c r="A90" s="17" t="inlineStr">
        <is>
          <t>W-087</t>
        </is>
      </c>
      <c r="B90" s="17" t="inlineStr">
        <is>
          <t>Phase 2</t>
        </is>
      </c>
      <c r="C90" s="18" t="inlineStr">
        <is>
          <t>QA</t>
        </is>
      </c>
      <c r="D90" s="18" t="inlineStr">
        <is>
          <t>Trading Console: payload search + filter combo regression</t>
        </is>
      </c>
      <c r="E90" s="17" t="inlineStr">
        <is>
          <t>QA</t>
        </is>
      </c>
      <c r="F90" s="17" t="n">
        <v>10</v>
      </c>
      <c r="G90" s="19">
        <f>F90*$B$1</f>
        <v/>
      </c>
      <c r="H90" s="17" t="n">
        <v>7</v>
      </c>
      <c r="I90" s="17" t="inlineStr">
        <is>
          <t>Not Started</t>
        </is>
      </c>
      <c r="J90" s="20" t="n">
        <v>0</v>
      </c>
      <c r="K90" s="21" t="n">
        <v>46275</v>
      </c>
      <c r="L90" s="21" t="n">
        <v>46275</v>
      </c>
      <c r="M90" s="21" t="n"/>
      <c r="N90" s="17">
        <f>IF(M90="","",IF(M90&lt;=K90,"On-Time","Delayed"))</f>
        <v/>
      </c>
      <c r="O90" s="17">
        <f>IF(M90="","",NETWORKDAYS(K90,M90)-1)</f>
        <v/>
      </c>
      <c r="P90" s="18" t="inlineStr">
        <is>
          <t>Common ops use case.</t>
        </is>
      </c>
    </row>
    <row r="91" ht="28" customHeight="1">
      <c r="A91" s="17" t="inlineStr">
        <is>
          <t>W-088</t>
        </is>
      </c>
      <c r="B91" s="17" t="inlineStr">
        <is>
          <t>Phase 2</t>
        </is>
      </c>
      <c r="C91" s="18" t="inlineStr">
        <is>
          <t>BA</t>
        </is>
      </c>
      <c r="D91" s="18" t="inlineStr">
        <is>
          <t>Demo: Trading Console + Health Dashboard to stakeholders (M7 milestone)</t>
        </is>
      </c>
      <c r="E91" s="17" t="inlineStr">
        <is>
          <t>BA</t>
        </is>
      </c>
      <c r="F91" s="17" t="n">
        <v>8</v>
      </c>
      <c r="G91" s="19">
        <f>F91*$B$1</f>
        <v/>
      </c>
      <c r="H91" s="17" t="n">
        <v>7</v>
      </c>
      <c r="I91" s="17" t="inlineStr">
        <is>
          <t>Not Started</t>
        </is>
      </c>
      <c r="J91" s="20" t="n">
        <v>0</v>
      </c>
      <c r="K91" s="21" t="n">
        <v>46275</v>
      </c>
      <c r="L91" s="21" t="n">
        <v>46275</v>
      </c>
      <c r="M91" s="21" t="n"/>
      <c r="N91" s="17">
        <f>IF(M91="","",IF(M91&lt;=K91,"On-Time","Delayed"))</f>
        <v/>
      </c>
      <c r="O91" s="17">
        <f>IF(M91="","",NETWORKDAYS(K91,M91)-1)</f>
        <v/>
      </c>
      <c r="P91" s="18" t="inlineStr">
        <is>
          <t>Sprint 7 demo.</t>
        </is>
      </c>
    </row>
    <row r="92" ht="28" customHeight="1">
      <c r="A92" s="17" t="inlineStr">
        <is>
          <t>W-089</t>
        </is>
      </c>
      <c r="B92" s="17" t="inlineStr">
        <is>
          <t>Phase 2</t>
        </is>
      </c>
      <c r="C92" s="18" t="inlineStr">
        <is>
          <t>Catalog</t>
        </is>
      </c>
      <c r="D92" s="18" t="inlineStr">
        <is>
          <t>Master Entity Catalog backend: entity registry + cross-adapter usage + field-level stats</t>
        </is>
      </c>
      <c r="E92" s="17" t="inlineStr">
        <is>
          <t>BE</t>
        </is>
      </c>
      <c r="F92" s="17" t="n">
        <v>28</v>
      </c>
      <c r="G92" s="19">
        <f>F92*$B$1</f>
        <v/>
      </c>
      <c r="H92" s="17" t="n">
        <v>8</v>
      </c>
      <c r="I92" s="17" t="inlineStr">
        <is>
          <t>Not Started</t>
        </is>
      </c>
      <c r="J92" s="20" t="n">
        <v>0</v>
      </c>
      <c r="K92" s="21" t="n">
        <v>46289</v>
      </c>
      <c r="L92" s="21" t="n">
        <v>46289</v>
      </c>
      <c r="M92" s="21" t="n"/>
      <c r="N92" s="17">
        <f>IF(M92="","",IF(M92&lt;=K92,"On-Time","Delayed"))</f>
        <v/>
      </c>
      <c r="O92" s="17">
        <f>IF(M92="","",NETWORKDAYS(K92,M92)-1)</f>
        <v/>
      </c>
      <c r="P92" s="18" t="inlineStr">
        <is>
          <t>Per Charter §5.5.</t>
        </is>
      </c>
    </row>
    <row r="93" ht="28" customHeight="1">
      <c r="A93" s="17" t="inlineStr">
        <is>
          <t>W-090</t>
        </is>
      </c>
      <c r="B93" s="17" t="inlineStr">
        <is>
          <t>Phase 2</t>
        </is>
      </c>
      <c r="C93" s="18" t="inlineStr">
        <is>
          <t>Frontend</t>
        </is>
      </c>
      <c r="D93" s="18" t="inlineStr">
        <is>
          <t>Master Entity Catalog UI: tree nav + field table + usage bars + cross-reference links</t>
        </is>
      </c>
      <c r="E93" s="17" t="inlineStr">
        <is>
          <t>FE</t>
        </is>
      </c>
      <c r="F93" s="17" t="n">
        <v>24</v>
      </c>
      <c r="G93" s="19">
        <f>F93*$B$1</f>
        <v/>
      </c>
      <c r="H93" s="17" t="n">
        <v>8</v>
      </c>
      <c r="I93" s="17" t="inlineStr">
        <is>
          <t>Not Started</t>
        </is>
      </c>
      <c r="J93" s="20" t="n">
        <v>0</v>
      </c>
      <c r="K93" s="21" t="n">
        <v>46289</v>
      </c>
      <c r="L93" s="21" t="n">
        <v>46289</v>
      </c>
      <c r="M93" s="21" t="n"/>
      <c r="N93" s="17">
        <f>IF(M93="","",IF(M93&lt;=K93,"On-Time","Delayed"))</f>
        <v/>
      </c>
      <c r="O93" s="17">
        <f>IF(M93="","",NETWORKDAYS(K93,M93)-1)</f>
        <v/>
      </c>
      <c r="P93" s="18" t="inlineStr">
        <is>
          <t>Replace catalog page hardcoded data.</t>
        </is>
      </c>
    </row>
    <row r="94" ht="28" customHeight="1">
      <c r="A94" s="17" t="inlineStr">
        <is>
          <t>W-091</t>
        </is>
      </c>
      <c r="B94" s="17" t="inlineStr">
        <is>
          <t>Phase 2</t>
        </is>
      </c>
      <c r="C94" s="18" t="inlineStr">
        <is>
          <t>Connector</t>
        </is>
      </c>
      <c r="D94" s="18" t="inlineStr">
        <is>
          <t>Generic Database connector (SQL Server + Postgres source/dest with introspection)</t>
        </is>
      </c>
      <c r="E94" s="17" t="inlineStr">
        <is>
          <t>BE</t>
        </is>
      </c>
      <c r="F94" s="17" t="n">
        <v>32</v>
      </c>
      <c r="G94" s="19">
        <f>F94*$B$1</f>
        <v/>
      </c>
      <c r="H94" s="17" t="n">
        <v>8</v>
      </c>
      <c r="I94" s="17" t="inlineStr">
        <is>
          <t>Not Started</t>
        </is>
      </c>
      <c r="J94" s="20" t="n">
        <v>0</v>
      </c>
      <c r="K94" s="21" t="n">
        <v>46289</v>
      </c>
      <c r="L94" s="21" t="n">
        <v>46289</v>
      </c>
      <c r="M94" s="21" t="n"/>
      <c r="N94" s="17">
        <f>IF(M94="","",IF(M94&lt;=K94,"On-Time","Delayed"))</f>
        <v/>
      </c>
      <c r="O94" s="17">
        <f>IF(M94="","",NETWORKDAYS(K94,M94)-1)</f>
        <v/>
      </c>
      <c r="P94" s="18" t="inlineStr">
        <is>
          <t>Per Charter §5.1.1 DB category.</t>
        </is>
      </c>
    </row>
    <row r="95" ht="28" customHeight="1">
      <c r="A95" s="17" t="inlineStr">
        <is>
          <t>W-092</t>
        </is>
      </c>
      <c r="B95" s="17" t="inlineStr">
        <is>
          <t>Phase 2</t>
        </is>
      </c>
      <c r="C95" s="18" t="inlineStr">
        <is>
          <t>Connector</t>
        </is>
      </c>
      <c r="D95" s="18" t="inlineStr">
        <is>
          <t>File Share connector (CSV/Excel source/dest with delimiter + sheet picker)</t>
        </is>
      </c>
      <c r="E95" s="17" t="inlineStr">
        <is>
          <t>BE</t>
        </is>
      </c>
      <c r="F95" s="17" t="n">
        <v>24</v>
      </c>
      <c r="G95" s="19">
        <f>F95*$B$1</f>
        <v/>
      </c>
      <c r="H95" s="17" t="n">
        <v>8</v>
      </c>
      <c r="I95" s="17" t="inlineStr">
        <is>
          <t>Not Started</t>
        </is>
      </c>
      <c r="J95" s="20" t="n">
        <v>0</v>
      </c>
      <c r="K95" s="21" t="n">
        <v>46289</v>
      </c>
      <c r="L95" s="21" t="n">
        <v>46289</v>
      </c>
      <c r="M95" s="21" t="n"/>
      <c r="N95" s="17">
        <f>IF(M95="","",IF(M95&lt;=K95,"On-Time","Delayed"))</f>
        <v/>
      </c>
      <c r="O95" s="17">
        <f>IF(M95="","",NETWORKDAYS(K95,M95)-1)</f>
        <v/>
      </c>
      <c r="P95" s="18" t="inlineStr">
        <is>
          <t>Per Charter Phase 2 scope.</t>
        </is>
      </c>
    </row>
    <row r="96" ht="28" customHeight="1">
      <c r="A96" s="17" t="inlineStr">
        <is>
          <t>W-093</t>
        </is>
      </c>
      <c r="B96" s="17" t="inlineStr">
        <is>
          <t>Phase 2</t>
        </is>
      </c>
      <c r="C96" s="18" t="inlineStr">
        <is>
          <t>Scraping</t>
        </is>
      </c>
      <c r="D96" s="18" t="inlineStr">
        <is>
          <t>Apify cloud actor connector (config + run-trigger + result fetch)</t>
        </is>
      </c>
      <c r="E96" s="17" t="inlineStr">
        <is>
          <t>BE</t>
        </is>
      </c>
      <c r="F96" s="17" t="n">
        <v>20</v>
      </c>
      <c r="G96" s="19">
        <f>F96*$B$1</f>
        <v/>
      </c>
      <c r="H96" s="17" t="n">
        <v>8</v>
      </c>
      <c r="I96" s="17" t="inlineStr">
        <is>
          <t>Not Started</t>
        </is>
      </c>
      <c r="J96" s="20" t="n">
        <v>0</v>
      </c>
      <c r="K96" s="21" t="n">
        <v>46289</v>
      </c>
      <c r="L96" s="21" t="n">
        <v>46289</v>
      </c>
      <c r="M96" s="21" t="n"/>
      <c r="N96" s="17">
        <f>IF(M96="","",IF(M96&lt;=K96,"On-Time","Delayed"))</f>
        <v/>
      </c>
      <c r="O96" s="17">
        <f>IF(M96="","",NETWORKDAYS(K96,M96)-1)</f>
        <v/>
      </c>
      <c r="P96" s="18" t="inlineStr">
        <is>
          <t>Per Charter §5.1.1 web scraping (a).</t>
        </is>
      </c>
    </row>
    <row r="97" ht="28" customHeight="1">
      <c r="A97" s="17" t="inlineStr">
        <is>
          <t>W-094</t>
        </is>
      </c>
      <c r="B97" s="17" t="inlineStr">
        <is>
          <t>Phase 2</t>
        </is>
      </c>
      <c r="C97" s="18" t="inlineStr">
        <is>
          <t>Scraping</t>
        </is>
      </c>
      <c r="D97" s="18" t="inlineStr">
        <is>
          <t>Playwright Automation connector (recorded/scripted flow runner + JSON result mapper)</t>
        </is>
      </c>
      <c r="E97" s="17" t="inlineStr">
        <is>
          <t>BE</t>
        </is>
      </c>
      <c r="F97" s="17" t="n">
        <v>24</v>
      </c>
      <c r="G97" s="19">
        <f>F97*$B$1</f>
        <v/>
      </c>
      <c r="H97" s="17" t="n">
        <v>8</v>
      </c>
      <c r="I97" s="17" t="inlineStr">
        <is>
          <t>Not Started</t>
        </is>
      </c>
      <c r="J97" s="20" t="n">
        <v>0</v>
      </c>
      <c r="K97" s="21" t="n">
        <v>46289</v>
      </c>
      <c r="L97" s="21" t="n">
        <v>46289</v>
      </c>
      <c r="M97" s="21" t="n"/>
      <c r="N97" s="17">
        <f>IF(M97="","",IF(M97&lt;=K97,"On-Time","Delayed"))</f>
        <v/>
      </c>
      <c r="O97" s="17">
        <f>IF(M97="","",NETWORKDAYS(K97,M97)-1)</f>
        <v/>
      </c>
      <c r="P97" s="18" t="inlineStr">
        <is>
          <t>Per Charter §5.1.1 web scraping (b).</t>
        </is>
      </c>
    </row>
    <row r="98" ht="28" customHeight="1">
      <c r="A98" s="17" t="inlineStr">
        <is>
          <t>W-095</t>
        </is>
      </c>
      <c r="B98" s="17" t="inlineStr">
        <is>
          <t>Phase 2</t>
        </is>
      </c>
      <c r="C98" s="18" t="inlineStr">
        <is>
          <t>Scraping</t>
        </is>
      </c>
      <c r="D98" s="18" t="inlineStr">
        <is>
          <t>Scraping connector breakage alert (screenshot-diff on Playwright failure)</t>
        </is>
      </c>
      <c r="E98" s="17" t="inlineStr">
        <is>
          <t>BE</t>
        </is>
      </c>
      <c r="F98" s="17" t="n">
        <v>10</v>
      </c>
      <c r="G98" s="19">
        <f>F98*$B$1</f>
        <v/>
      </c>
      <c r="H98" s="17" t="n">
        <v>8</v>
      </c>
      <c r="I98" s="17" t="inlineStr">
        <is>
          <t>Not Started</t>
        </is>
      </c>
      <c r="J98" s="20" t="n">
        <v>0</v>
      </c>
      <c r="K98" s="21" t="n">
        <v>46289</v>
      </c>
      <c r="L98" s="21" t="n">
        <v>46289</v>
      </c>
      <c r="M98" s="21" t="n"/>
      <c r="N98" s="17">
        <f>IF(M98="","",IF(M98&lt;=K98,"On-Time","Delayed"))</f>
        <v/>
      </c>
      <c r="O98" s="17">
        <f>IF(M98="","",NETWORKDAYS(K98,M98)-1)</f>
        <v/>
      </c>
      <c r="P98" s="18" t="inlineStr">
        <is>
          <t>Charter §5.11.1.</t>
        </is>
      </c>
    </row>
    <row r="99" ht="28" customHeight="1">
      <c r="A99" s="17" t="inlineStr">
        <is>
          <t>W-096</t>
        </is>
      </c>
      <c r="B99" s="17" t="inlineStr">
        <is>
          <t>Phase 2</t>
        </is>
      </c>
      <c r="C99" s="18" t="inlineStr">
        <is>
          <t>QA</t>
        </is>
      </c>
      <c r="D99" s="18" t="inlineStr">
        <is>
          <t>Connector regression: each new connector → source → transform → dest happy path + error path</t>
        </is>
      </c>
      <c r="E99" s="17" t="inlineStr">
        <is>
          <t>QA</t>
        </is>
      </c>
      <c r="F99" s="17" t="n">
        <v>24</v>
      </c>
      <c r="G99" s="19">
        <f>F99*$B$1</f>
        <v/>
      </c>
      <c r="H99" s="17" t="n">
        <v>8</v>
      </c>
      <c r="I99" s="17" t="inlineStr">
        <is>
          <t>Not Started</t>
        </is>
      </c>
      <c r="J99" s="20" t="n">
        <v>0</v>
      </c>
      <c r="K99" s="21" t="n">
        <v>46289</v>
      </c>
      <c r="L99" s="21" t="n">
        <v>46289</v>
      </c>
      <c r="M99" s="21" t="n"/>
      <c r="N99" s="17">
        <f>IF(M99="","",IF(M99&lt;=K99,"On-Time","Delayed"))</f>
        <v/>
      </c>
      <c r="O99" s="17">
        <f>IF(M99="","",NETWORKDAYS(K99,M99)-1)</f>
        <v/>
      </c>
      <c r="P99" s="18" t="inlineStr">
        <is>
          <t>4 new connectors × 2 paths each.</t>
        </is>
      </c>
    </row>
    <row r="100" ht="28" customHeight="1">
      <c r="A100" s="17" t="inlineStr">
        <is>
          <t>W-097</t>
        </is>
      </c>
      <c r="B100" s="17" t="inlineStr">
        <is>
          <t>Phase 2</t>
        </is>
      </c>
      <c r="C100" s="18" t="inlineStr">
        <is>
          <t>BA</t>
        </is>
      </c>
      <c r="D100" s="18" t="inlineStr">
        <is>
          <t>Entity merge UX spec + impact-analysis acceptance criteria</t>
        </is>
      </c>
      <c r="E100" s="17" t="inlineStr">
        <is>
          <t>BA</t>
        </is>
      </c>
      <c r="F100" s="17" t="n">
        <v>12</v>
      </c>
      <c r="G100" s="19">
        <f>F100*$B$1</f>
        <v/>
      </c>
      <c r="H100" s="17" t="n">
        <v>8</v>
      </c>
      <c r="I100" s="17" t="inlineStr">
        <is>
          <t>Not Started</t>
        </is>
      </c>
      <c r="J100" s="20" t="n">
        <v>0</v>
      </c>
      <c r="K100" s="21" t="n">
        <v>46289</v>
      </c>
      <c r="L100" s="21" t="n">
        <v>46289</v>
      </c>
      <c r="M100" s="21" t="n"/>
      <c r="N100" s="17">
        <f>IF(M100="","",IF(M100&lt;=K100,"On-Time","Delayed"))</f>
        <v/>
      </c>
      <c r="O100" s="17">
        <f>IF(M100="","",NETWORKDAYS(K100,M100)-1)</f>
        <v/>
      </c>
      <c r="P100" s="18" t="inlineStr">
        <is>
          <t>Defer merge impl to Phase 3.</t>
        </is>
      </c>
    </row>
    <row r="101" ht="28" customHeight="1">
      <c r="A101" s="17" t="inlineStr">
        <is>
          <t>W-098</t>
        </is>
      </c>
      <c r="B101" s="17" t="inlineStr">
        <is>
          <t>Phase 2</t>
        </is>
      </c>
      <c r="C101" s="18" t="inlineStr">
        <is>
          <t>Alerts</t>
        </is>
      </c>
      <c r="D101" s="18" t="inlineStr">
        <is>
          <t>Email alert dispatcher (SendGrid) + per-user notification prefs (immediate/digest/off)</t>
        </is>
      </c>
      <c r="E101" s="17" t="inlineStr">
        <is>
          <t>BE</t>
        </is>
      </c>
      <c r="F101" s="17" t="n">
        <v>20</v>
      </c>
      <c r="G101" s="19">
        <f>F101*$B$1</f>
        <v/>
      </c>
      <c r="H101" s="17" t="n">
        <v>9</v>
      </c>
      <c r="I101" s="17" t="inlineStr">
        <is>
          <t>Not Started</t>
        </is>
      </c>
      <c r="J101" s="20" t="n">
        <v>0</v>
      </c>
      <c r="K101" s="21" t="n">
        <v>46303</v>
      </c>
      <c r="L101" s="21" t="n">
        <v>46303</v>
      </c>
      <c r="M101" s="21" t="n"/>
      <c r="N101" s="17">
        <f>IF(M101="","",IF(M101&lt;=K101,"On-Time","Delayed"))</f>
        <v/>
      </c>
      <c r="O101" s="17">
        <f>IF(M101="","",NETWORKDAYS(K101,M101)-1)</f>
        <v/>
      </c>
      <c r="P101" s="18" t="inlineStr">
        <is>
          <t>Per Charter §5.11.2.</t>
        </is>
      </c>
    </row>
    <row r="102" ht="28" customHeight="1">
      <c r="A102" s="17" t="inlineStr">
        <is>
          <t>W-099</t>
        </is>
      </c>
      <c r="B102" s="17" t="inlineStr">
        <is>
          <t>Phase 2</t>
        </is>
      </c>
      <c r="C102" s="18" t="inlineStr">
        <is>
          <t>Alerts</t>
        </is>
      </c>
      <c r="D102" s="18" t="inlineStr">
        <is>
          <t>Escalation chains: timer-based escalate-to-admin + auto-pause on 2nd unacknowledged</t>
        </is>
      </c>
      <c r="E102" s="17" t="inlineStr">
        <is>
          <t>BE</t>
        </is>
      </c>
      <c r="F102" s="17" t="n">
        <v>16</v>
      </c>
      <c r="G102" s="19">
        <f>F102*$B$1</f>
        <v/>
      </c>
      <c r="H102" s="17" t="n">
        <v>9</v>
      </c>
      <c r="I102" s="17" t="inlineStr">
        <is>
          <t>Not Started</t>
        </is>
      </c>
      <c r="J102" s="20" t="n">
        <v>0</v>
      </c>
      <c r="K102" s="21" t="n">
        <v>46303</v>
      </c>
      <c r="L102" s="21" t="n">
        <v>46303</v>
      </c>
      <c r="M102" s="21" t="n"/>
      <c r="N102" s="17">
        <f>IF(M102="","",IF(M102&lt;=K102,"On-Time","Delayed"))</f>
        <v/>
      </c>
      <c r="O102" s="17">
        <f>IF(M102="","",NETWORKDAYS(K102,M102)-1)</f>
        <v/>
      </c>
      <c r="P102" s="18" t="inlineStr">
        <is>
          <t>Per Charter §5.11.3.</t>
        </is>
      </c>
    </row>
    <row r="103" ht="28" customHeight="1">
      <c r="A103" s="17" t="inlineStr">
        <is>
          <t>W-100</t>
        </is>
      </c>
      <c r="B103" s="17" t="inlineStr">
        <is>
          <t>Phase 2</t>
        </is>
      </c>
      <c r="C103" s="18" t="inlineStr">
        <is>
          <t>Alerts</t>
        </is>
      </c>
      <c r="D103" s="18" t="inlineStr">
        <is>
          <t>Threshold-based custom alerts engine (per-adapter rule store + evaluator)</t>
        </is>
      </c>
      <c r="E103" s="17" t="inlineStr">
        <is>
          <t>BE</t>
        </is>
      </c>
      <c r="F103" s="17" t="n">
        <v>20</v>
      </c>
      <c r="G103" s="19">
        <f>F103*$B$1</f>
        <v/>
      </c>
      <c r="H103" s="17" t="n">
        <v>9</v>
      </c>
      <c r="I103" s="17" t="inlineStr">
        <is>
          <t>Not Started</t>
        </is>
      </c>
      <c r="J103" s="20" t="n">
        <v>0</v>
      </c>
      <c r="K103" s="21" t="n">
        <v>46303</v>
      </c>
      <c r="L103" s="21" t="n">
        <v>46303</v>
      </c>
      <c r="M103" s="21" t="n"/>
      <c r="N103" s="17">
        <f>IF(M103="","",IF(M103&lt;=K103,"On-Time","Delayed"))</f>
        <v/>
      </c>
      <c r="O103" s="17">
        <f>IF(M103="","",NETWORKDAYS(K103,M103)-1)</f>
        <v/>
      </c>
      <c r="P103" s="18" t="inlineStr">
        <is>
          <t>Volume drop, error rate, etc.</t>
        </is>
      </c>
    </row>
    <row r="104" ht="28" customHeight="1">
      <c r="A104" s="17" t="inlineStr">
        <is>
          <t>W-101</t>
        </is>
      </c>
      <c r="B104" s="17" t="inlineStr">
        <is>
          <t>Phase 2</t>
        </is>
      </c>
      <c r="C104" s="18" t="inlineStr">
        <is>
          <t>Frontend</t>
        </is>
      </c>
      <c r="D104" s="18" t="inlineStr">
        <is>
          <t>Alerts UI: notification bell + feed + detail panel + acknowledge/escalate actions</t>
        </is>
      </c>
      <c r="E104" s="17" t="inlineStr">
        <is>
          <t>FE</t>
        </is>
      </c>
      <c r="F104" s="17" t="n">
        <v>20</v>
      </c>
      <c r="G104" s="19">
        <f>F104*$B$1</f>
        <v/>
      </c>
      <c r="H104" s="17" t="n">
        <v>9</v>
      </c>
      <c r="I104" s="17" t="inlineStr">
        <is>
          <t>Not Started</t>
        </is>
      </c>
      <c r="J104" s="20" t="n">
        <v>0</v>
      </c>
      <c r="K104" s="21" t="n">
        <v>46303</v>
      </c>
      <c r="L104" s="21" t="n">
        <v>46303</v>
      </c>
      <c r="M104" s="21" t="n"/>
      <c r="N104" s="17">
        <f>IF(M104="","",IF(M104&lt;=K104,"On-Time","Delayed"))</f>
        <v/>
      </c>
      <c r="O104" s="17">
        <f>IF(M104="","",NETWORKDAYS(K104,M104)-1)</f>
        <v/>
      </c>
      <c r="P104" s="18" t="inlineStr">
        <is>
          <t>Replace mock alerts.js.</t>
        </is>
      </c>
    </row>
    <row r="105" ht="28" customHeight="1">
      <c r="A105" s="17" t="inlineStr">
        <is>
          <t>W-102</t>
        </is>
      </c>
      <c r="B105" s="17" t="inlineStr">
        <is>
          <t>Phase 2</t>
        </is>
      </c>
      <c r="C105" s="18" t="inlineStr">
        <is>
          <t>Workflow</t>
        </is>
      </c>
      <c r="D105" s="18" t="inlineStr">
        <is>
          <t>Task escalation system: Operator→Designer task with auto-attached context (mapping/error)</t>
        </is>
      </c>
      <c r="E105" s="17" t="inlineStr">
        <is>
          <t>BE</t>
        </is>
      </c>
      <c r="F105" s="17" t="n">
        <v>16</v>
      </c>
      <c r="G105" s="19">
        <f>F105*$B$1</f>
        <v/>
      </c>
      <c r="H105" s="17" t="n">
        <v>9</v>
      </c>
      <c r="I105" s="17" t="inlineStr">
        <is>
          <t>Not Started</t>
        </is>
      </c>
      <c r="J105" s="20" t="n">
        <v>0</v>
      </c>
      <c r="K105" s="21" t="n">
        <v>46303</v>
      </c>
      <c r="L105" s="21" t="n">
        <v>46303</v>
      </c>
      <c r="M105" s="21" t="n"/>
      <c r="N105" s="17">
        <f>IF(M105="","",IF(M105&lt;=K105,"On-Time","Delayed"))</f>
        <v/>
      </c>
      <c r="O105" s="17">
        <f>IF(M105="","",NETWORKDAYS(K105,M105)-1)</f>
        <v/>
      </c>
      <c r="P105" s="18" t="inlineStr">
        <is>
          <t>Per Charter §5.6 + §5.3.3.</t>
        </is>
      </c>
    </row>
    <row r="106" ht="28" customHeight="1">
      <c r="A106" s="17" t="inlineStr">
        <is>
          <t>W-103</t>
        </is>
      </c>
      <c r="B106" s="17" t="inlineStr">
        <is>
          <t>Phase 2</t>
        </is>
      </c>
      <c r="C106" s="18" t="inlineStr">
        <is>
          <t>Frontend</t>
        </is>
      </c>
      <c r="D106" s="18" t="inlineStr">
        <is>
          <t>Cron builder UI in Wizard Step 5 (visual cron with next-run preview)</t>
        </is>
      </c>
      <c r="E106" s="17" t="inlineStr">
        <is>
          <t>FE</t>
        </is>
      </c>
      <c r="F106" s="17" t="n">
        <v>16</v>
      </c>
      <c r="G106" s="19">
        <f>F106*$B$1</f>
        <v/>
      </c>
      <c r="H106" s="17" t="n">
        <v>9</v>
      </c>
      <c r="I106" s="17" t="inlineStr">
        <is>
          <t>Not Started</t>
        </is>
      </c>
      <c r="J106" s="20" t="n">
        <v>0</v>
      </c>
      <c r="K106" s="21" t="n">
        <v>46303</v>
      </c>
      <c r="L106" s="21" t="n">
        <v>46303</v>
      </c>
      <c r="M106" s="21" t="n"/>
      <c r="N106" s="17">
        <f>IF(M106="","",IF(M106&lt;=K106,"On-Time","Delayed"))</f>
        <v/>
      </c>
      <c r="O106" s="17">
        <f>IF(M106="","",NETWORKDAYS(K106,M106)-1)</f>
        <v/>
      </c>
      <c r="P106" s="18" t="inlineStr">
        <is>
          <t>Per Charter §5.2 step 5.</t>
        </is>
      </c>
    </row>
    <row r="107" ht="28" customHeight="1">
      <c r="A107" s="17" t="inlineStr">
        <is>
          <t>W-104</t>
        </is>
      </c>
      <c r="B107" s="17" t="inlineStr">
        <is>
          <t>Phase 2</t>
        </is>
      </c>
      <c r="C107" s="18" t="inlineStr">
        <is>
          <t>Security</t>
        </is>
      </c>
      <c r="D107" s="18" t="inlineStr">
        <is>
          <t>Resource-level RBAC overrides + admin UI to grant per-adapter permission exceptions</t>
        </is>
      </c>
      <c r="E107" s="17" t="inlineStr">
        <is>
          <t>BE</t>
        </is>
      </c>
      <c r="F107" s="17" t="n">
        <v>20</v>
      </c>
      <c r="G107" s="19">
        <f>F107*$B$1</f>
        <v/>
      </c>
      <c r="H107" s="17" t="n">
        <v>9</v>
      </c>
      <c r="I107" s="17" t="inlineStr">
        <is>
          <t>Not Started</t>
        </is>
      </c>
      <c r="J107" s="20" t="n">
        <v>0</v>
      </c>
      <c r="K107" s="21" t="n">
        <v>46303</v>
      </c>
      <c r="L107" s="21" t="n">
        <v>46303</v>
      </c>
      <c r="M107" s="21" t="n"/>
      <c r="N107" s="17">
        <f>IF(M107="","",IF(M107&lt;=K107,"On-Time","Delayed"))</f>
        <v/>
      </c>
      <c r="O107" s="17">
        <f>IF(M107="","",NETWORKDAYS(K107,M107)-1)</f>
        <v/>
      </c>
      <c r="P107" s="18" t="inlineStr">
        <is>
          <t>Per Charter §5.8.3.</t>
        </is>
      </c>
    </row>
    <row r="108" ht="28" customHeight="1">
      <c r="A108" s="17" t="inlineStr">
        <is>
          <t>W-105</t>
        </is>
      </c>
      <c r="B108" s="17" t="inlineStr">
        <is>
          <t>Phase 2</t>
        </is>
      </c>
      <c r="C108" s="18" t="inlineStr">
        <is>
          <t>Frontend</t>
        </is>
      </c>
      <c r="D108" s="18" t="inlineStr">
        <is>
          <t>Audit log viewer UI in Admin (filterable by user, action, entity, date)</t>
        </is>
      </c>
      <c r="E108" s="17" t="inlineStr">
        <is>
          <t>FE</t>
        </is>
      </c>
      <c r="F108" s="17" t="n">
        <v>14</v>
      </c>
      <c r="G108" s="19">
        <f>F108*$B$1</f>
        <v/>
      </c>
      <c r="H108" s="17" t="n">
        <v>9</v>
      </c>
      <c r="I108" s="17" t="inlineStr">
        <is>
          <t>Not Started</t>
        </is>
      </c>
      <c r="J108" s="20" t="n">
        <v>0</v>
      </c>
      <c r="K108" s="21" t="n">
        <v>46303</v>
      </c>
      <c r="L108" s="21" t="n">
        <v>46303</v>
      </c>
      <c r="M108" s="21" t="n"/>
      <c r="N108" s="17">
        <f>IF(M108="","",IF(M108&lt;=K108,"On-Time","Delayed"))</f>
        <v/>
      </c>
      <c r="O108" s="17">
        <f>IF(M108="","",NETWORKDAYS(K108,M108)-1)</f>
        <v/>
      </c>
      <c r="P108" s="18" t="inlineStr">
        <is>
          <t>Append-only view.</t>
        </is>
      </c>
    </row>
    <row r="109" ht="28" customHeight="1">
      <c r="A109" s="17" t="inlineStr">
        <is>
          <t>W-106</t>
        </is>
      </c>
      <c r="B109" s="17" t="inlineStr">
        <is>
          <t>Phase 2</t>
        </is>
      </c>
      <c r="C109" s="18" t="inlineStr">
        <is>
          <t>Frontend</t>
        </is>
      </c>
      <c r="D109" s="18" t="inlineStr">
        <is>
          <t>Contextual help: first-time walkthroughs + inline form hints + tooltip library</t>
        </is>
      </c>
      <c r="E109" s="17" t="inlineStr">
        <is>
          <t>FE</t>
        </is>
      </c>
      <c r="F109" s="17" t="n">
        <v>16</v>
      </c>
      <c r="G109" s="19">
        <f>F109*$B$1</f>
        <v/>
      </c>
      <c r="H109" s="17" t="n">
        <v>9</v>
      </c>
      <c r="I109" s="17" t="inlineStr">
        <is>
          <t>Not Started</t>
        </is>
      </c>
      <c r="J109" s="20" t="n">
        <v>0</v>
      </c>
      <c r="K109" s="21" t="n">
        <v>46303</v>
      </c>
      <c r="L109" s="21" t="n">
        <v>46303</v>
      </c>
      <c r="M109" s="21" t="n"/>
      <c r="N109" s="17">
        <f>IF(M109="","",IF(M109&lt;=K109,"On-Time","Delayed"))</f>
        <v/>
      </c>
      <c r="O109" s="17">
        <f>IF(M109="","",NETWORKDAYS(K109,M109)-1)</f>
        <v/>
      </c>
      <c r="P109" s="18" t="inlineStr">
        <is>
          <t>Per Charter §5.10.2.</t>
        </is>
      </c>
    </row>
    <row r="110" ht="28" customHeight="1">
      <c r="A110" s="17" t="inlineStr">
        <is>
          <t>W-107</t>
        </is>
      </c>
      <c r="B110" s="17" t="inlineStr">
        <is>
          <t>Phase 2</t>
        </is>
      </c>
      <c r="C110" s="18" t="inlineStr">
        <is>
          <t>QA</t>
        </is>
      </c>
      <c r="D110" s="18" t="inlineStr">
        <is>
          <t>Alerts E2E: failure → in-app + email → escalation timer → auto-pause</t>
        </is>
      </c>
      <c r="E110" s="17" t="inlineStr">
        <is>
          <t>QA</t>
        </is>
      </c>
      <c r="F110" s="17" t="n">
        <v>16</v>
      </c>
      <c r="G110" s="19">
        <f>F110*$B$1</f>
        <v/>
      </c>
      <c r="H110" s="17" t="n">
        <v>9</v>
      </c>
      <c r="I110" s="17" t="inlineStr">
        <is>
          <t>Not Started</t>
        </is>
      </c>
      <c r="J110" s="20" t="n">
        <v>0</v>
      </c>
      <c r="K110" s="21" t="n">
        <v>46303</v>
      </c>
      <c r="L110" s="21" t="n">
        <v>46303</v>
      </c>
      <c r="M110" s="21" t="n"/>
      <c r="N110" s="17">
        <f>IF(M110="","",IF(M110&lt;=K110,"On-Time","Delayed"))</f>
        <v/>
      </c>
      <c r="O110" s="17">
        <f>IF(M110="","",NETWORKDAYS(K110,M110)-1)</f>
        <v/>
      </c>
      <c r="P110" s="18" t="inlineStr">
        <is>
          <t>Time-traveled tests.</t>
        </is>
      </c>
    </row>
    <row r="111" ht="28" customHeight="1">
      <c r="A111" s="17" t="inlineStr">
        <is>
          <t>W-108</t>
        </is>
      </c>
      <c r="B111" s="17" t="inlineStr">
        <is>
          <t>Phase 2</t>
        </is>
      </c>
      <c r="C111" s="18" t="inlineStr">
        <is>
          <t>QA</t>
        </is>
      </c>
      <c r="D111" s="18" t="inlineStr">
        <is>
          <t>Phase 2 regression + security re-review (new APIs, AI sandbox boundaries)</t>
        </is>
      </c>
      <c r="E111" s="17" t="inlineStr">
        <is>
          <t>QA</t>
        </is>
      </c>
      <c r="F111" s="17" t="n">
        <v>20</v>
      </c>
      <c r="G111" s="19">
        <f>F111*$B$1</f>
        <v/>
      </c>
      <c r="H111" s="17" t="n">
        <v>9</v>
      </c>
      <c r="I111" s="17" t="inlineStr">
        <is>
          <t>Not Started</t>
        </is>
      </c>
      <c r="J111" s="20" t="n">
        <v>0</v>
      </c>
      <c r="K111" s="21" t="n">
        <v>46303</v>
      </c>
      <c r="L111" s="21" t="n">
        <v>46303</v>
      </c>
      <c r="M111" s="21" t="n"/>
      <c r="N111" s="17">
        <f>IF(M111="","",IF(M111&lt;=K111,"On-Time","Delayed"))</f>
        <v/>
      </c>
      <c r="O111" s="17">
        <f>IF(M111="","",NETWORKDAYS(K111,M111)-1)</f>
        <v/>
      </c>
      <c r="P111" s="18" t="inlineStr">
        <is>
          <t>Pre-UAT gate.</t>
        </is>
      </c>
    </row>
    <row r="112" ht="28" customHeight="1">
      <c r="A112" s="17" t="inlineStr">
        <is>
          <t>W-109</t>
        </is>
      </c>
      <c r="B112" s="17" t="inlineStr">
        <is>
          <t>Phase 2</t>
        </is>
      </c>
      <c r="C112" s="18" t="inlineStr">
        <is>
          <t>BA</t>
        </is>
      </c>
      <c r="D112" s="18" t="inlineStr">
        <is>
          <t>Phase 2 UAT planning + execution + signoff</t>
        </is>
      </c>
      <c r="E112" s="17" t="inlineStr">
        <is>
          <t>BA</t>
        </is>
      </c>
      <c r="F112" s="17" t="n">
        <v>24</v>
      </c>
      <c r="G112" s="19">
        <f>F112*$B$1</f>
        <v/>
      </c>
      <c r="H112" s="17" t="n">
        <v>9</v>
      </c>
      <c r="I112" s="17" t="inlineStr">
        <is>
          <t>Not Started</t>
        </is>
      </c>
      <c r="J112" s="20" t="n">
        <v>0</v>
      </c>
      <c r="K112" s="21" t="n">
        <v>46303</v>
      </c>
      <c r="L112" s="21" t="n">
        <v>46303</v>
      </c>
      <c r="M112" s="21" t="n"/>
      <c r="N112" s="17">
        <f>IF(M112="","",IF(M112&lt;=K112,"On-Time","Delayed"))</f>
        <v/>
      </c>
      <c r="O112" s="17">
        <f>IF(M112="","",NETWORKDAYS(K112,M112)-1)</f>
        <v/>
      </c>
      <c r="P112" s="18" t="inlineStr">
        <is>
          <t>M9 milestone owner.</t>
        </is>
      </c>
    </row>
    <row r="113" ht="28" customHeight="1">
      <c r="A113" s="17" t="inlineStr">
        <is>
          <t>W-110</t>
        </is>
      </c>
      <c r="B113" s="17" t="inlineStr">
        <is>
          <t>Phase 2</t>
        </is>
      </c>
      <c r="C113" s="18" t="inlineStr">
        <is>
          <t>DevOps</t>
        </is>
      </c>
      <c r="D113" s="18" t="inlineStr">
        <is>
          <t>Production deploy + monitoring (Serilog → Seq or ELK + uptime probe)</t>
        </is>
      </c>
      <c r="E113" s="17" t="inlineStr">
        <is>
          <t>DevOps</t>
        </is>
      </c>
      <c r="F113" s="17" t="n">
        <v>16</v>
      </c>
      <c r="G113" s="19">
        <f>F113*$B$1</f>
        <v/>
      </c>
      <c r="H113" s="17" t="n">
        <v>9</v>
      </c>
      <c r="I113" s="17" t="inlineStr">
        <is>
          <t>Not Started</t>
        </is>
      </c>
      <c r="J113" s="20" t="n">
        <v>0</v>
      </c>
      <c r="K113" s="21" t="n">
        <v>46303</v>
      </c>
      <c r="L113" s="21" t="n">
        <v>46303</v>
      </c>
      <c r="M113" s="21" t="n"/>
      <c r="N113" s="17">
        <f>IF(M113="","",IF(M113&lt;=K113,"On-Time","Delayed"))</f>
        <v/>
      </c>
      <c r="O113" s="17">
        <f>IF(M113="","",NETWORKDAYS(K113,M113)-1)</f>
        <v/>
      </c>
      <c r="P113" s="18" t="inlineStr">
        <is>
          <t>Go-live readiness.</t>
        </is>
      </c>
    </row>
    <row r="114">
      <c r="A114" s="22" t="n"/>
      <c r="B114" s="23" t="inlineStr">
        <is>
          <t>Phase 0 subtotal</t>
        </is>
      </c>
      <c r="C114" s="22" t="n"/>
      <c r="D114" s="22" t="n"/>
      <c r="E114" s="22" t="n"/>
      <c r="F114" s="24">
        <f>SUM(F4:F13)</f>
        <v/>
      </c>
      <c r="G114" s="25">
        <f>SUM(G4:G13)</f>
        <v/>
      </c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</row>
    <row r="115">
      <c r="A115" s="22" t="n"/>
      <c r="B115" s="23" t="inlineStr">
        <is>
          <t>Phase 1 subtotal</t>
        </is>
      </c>
      <c r="C115" s="22" t="n"/>
      <c r="D115" s="22" t="n"/>
      <c r="E115" s="22" t="n"/>
      <c r="F115" s="24">
        <f>SUM(F14:F76)</f>
        <v/>
      </c>
      <c r="G115" s="25">
        <f>SUM(G14:G76)</f>
        <v/>
      </c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</row>
    <row r="116">
      <c r="A116" s="22" t="n"/>
      <c r="B116" s="23" t="inlineStr">
        <is>
          <t>Phase 2 subtotal</t>
        </is>
      </c>
      <c r="C116" s="22" t="n"/>
      <c r="D116" s="22" t="n"/>
      <c r="E116" s="22" t="n"/>
      <c r="F116" s="24">
        <f>SUM(F77:F113)</f>
        <v/>
      </c>
      <c r="G116" s="25">
        <f>SUM(G77:G113)</f>
        <v/>
      </c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</row>
    <row r="117">
      <c r="A117" s="26" t="n"/>
      <c r="B117" s="26" t="inlineStr">
        <is>
          <t>GRAND TOTAL</t>
        </is>
      </c>
      <c r="C117" s="26" t="n"/>
      <c r="D117" s="26" t="n"/>
      <c r="E117" s="26" t="n"/>
      <c r="F117" s="27">
        <f>SUM(F4:F113)</f>
        <v/>
      </c>
      <c r="G117" s="28">
        <f>SUM(G4:G113)</f>
        <v/>
      </c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</row>
  </sheetData>
  <conditionalFormatting sqref="I4:I113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"Done"</formula>
    </cfRule>
    <cfRule type="cellIs" priority="5" operator="equal" dxfId="4">
      <formula>"Cancelled"</formula>
    </cfRule>
  </conditionalFormatting>
  <conditionalFormatting sqref="N4:N113">
    <cfRule type="cellIs" priority="6" operator="equal" dxfId="3">
      <formula>"On-Time"</formula>
    </cfRule>
    <cfRule type="cellIs" priority="7" operator="equal" dxfId="2">
      <formula>"Delayed"</formula>
    </cfRule>
  </conditionalFormatting>
  <conditionalFormatting sqref="J4:J113">
    <cfRule type="dataBar" priority="8">
      <dataBar showValue="1">
        <cfvo type="num" val="0"/>
        <cfvo type="num" val="1"/>
        <color rgb="004472C4"/>
      </dataBar>
    </cfRule>
  </conditionalFormatting>
  <dataValidations count="3">
    <dataValidation sqref="I4:I113" showDropDown="0" showInputMessage="0" showErrorMessage="0" allowBlank="1" type="list">
      <formula1>"Not Started,In Progress,Blocked,Done,Cancelled"</formula1>
    </dataValidation>
    <dataValidation sqref="J4:J113" showDropDown="0" showInputMessage="0" showErrorMessage="0" allowBlank="1" type="list">
      <formula1>"0,0.25,0.5,0.75,1"</formula1>
    </dataValidation>
    <dataValidation sqref="E4:E113" showDropDown="0" showInputMessage="0" showErrorMessage="0" allowBlank="1" type="list">
      <formula1>"BA,FE,BE,QA,DevOps,Backend,Frontend"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0" customWidth="1" min="3" max="3"/>
    <col width="14" customWidth="1" min="4" max="4"/>
    <col width="14" customWidth="1" min="5" max="5"/>
    <col width="14" customWidth="1" min="6" max="6"/>
    <col width="60" customWidth="1" min="7" max="7"/>
    <col width="30" customWidth="1" min="8" max="8"/>
    <col width="14" customWidth="1" min="9" max="9"/>
    <col width="11" customWidth="1" min="10" max="10"/>
  </cols>
  <sheetData>
    <row r="1" ht="30" customHeight="1">
      <c r="A1" s="16" t="inlineStr">
        <is>
          <t>Milestone ID</t>
        </is>
      </c>
      <c r="B1" s="16" t="inlineStr">
        <is>
          <t>Milestone</t>
        </is>
      </c>
      <c r="C1" s="16" t="inlineStr">
        <is>
          <t>Phase</t>
        </is>
      </c>
      <c r="D1" s="16" t="inlineStr">
        <is>
          <t>Target Date</t>
        </is>
      </c>
      <c r="E1" s="16" t="inlineStr">
        <is>
          <t>Status</t>
        </is>
      </c>
      <c r="F1" s="16" t="inlineStr">
        <is>
          <t>Owner</t>
        </is>
      </c>
      <c r="G1" s="16" t="inlineStr">
        <is>
          <t>Acceptance Criteria</t>
        </is>
      </c>
      <c r="H1" s="16" t="inlineStr">
        <is>
          <t>Dependencies</t>
        </is>
      </c>
      <c r="I1" s="16" t="inlineStr">
        <is>
          <t>Actual Date</t>
        </is>
      </c>
      <c r="J1" s="16" t="inlineStr">
        <is>
          <t>Slip Days</t>
        </is>
      </c>
    </row>
    <row r="2" ht="60" customHeight="1">
      <c r="A2" s="29" t="inlineStr">
        <is>
          <t>M0</t>
        </is>
      </c>
      <c r="B2" s="18" t="inlineStr">
        <is>
          <t>Sprint 0 complete — solution scaffolded, CI green, EF migrations applied</t>
        </is>
      </c>
      <c r="C2" s="17" t="inlineStr">
        <is>
          <t>P0</t>
        </is>
      </c>
      <c r="D2" s="21" t="n">
        <v>46178</v>
      </c>
      <c r="E2" s="17" t="inlineStr">
        <is>
          <t>Not Started</t>
        </is>
      </c>
      <c r="F2" s="17" t="inlineStr">
        <is>
          <t>Kiran</t>
        </is>
      </c>
      <c r="G2" s="18" t="inlineStr">
        <is>
          <t>dotnet build green; dotnet test 0 failures; docker compose up healthy; CI pipeline runs in &lt;8 min.</t>
        </is>
      </c>
      <c r="H2" s="18" t="inlineStr">
        <is>
          <t>—</t>
        </is>
      </c>
      <c r="I2" s="30" t="n"/>
      <c r="J2" s="17">
        <f>IF(I2="","",NETWORKDAYS(D2,I2)-1)</f>
        <v/>
      </c>
    </row>
    <row r="3" ht="60" customHeight="1">
      <c r="A3" s="29" t="inlineStr">
        <is>
          <t>M1</t>
        </is>
      </c>
      <c r="B3" s="18" t="inlineStr">
        <is>
          <t>Hub engine working — first message Inbox → Channel → Router → Outbox → DLQ on forced failure</t>
        </is>
      </c>
      <c r="C3" s="17" t="inlineStr">
        <is>
          <t>P1</t>
        </is>
      </c>
      <c r="D3" s="21" t="n">
        <v>46192</v>
      </c>
      <c r="E3" s="17" t="inlineStr">
        <is>
          <t>Not Started</t>
        </is>
      </c>
      <c r="F3" s="17" t="inlineStr">
        <is>
          <t>BE Dev</t>
        </is>
      </c>
      <c r="G3" s="18" t="inlineStr">
        <is>
          <t>Fake source emits envelope; checksum valid; PENDING row in inbox; routes to subscription; DLQ entry on forced 500.</t>
        </is>
      </c>
      <c r="H3" s="18" t="inlineStr">
        <is>
          <t>M0</t>
        </is>
      </c>
      <c r="I3" s="30" t="n"/>
      <c r="J3" s="17">
        <f>IF(I3="","",NETWORKDAYS(D3,I3)-1)</f>
        <v/>
      </c>
    </row>
    <row r="4" ht="60" customHeight="1">
      <c r="A4" s="29" t="inlineStr">
        <is>
          <t>M2</t>
        </is>
      </c>
      <c r="B4" s="18" t="inlineStr">
        <is>
          <t>Jira → SharePoint parity with Node version (Red Gold + Flatiron + 35-field mapper)</t>
        </is>
      </c>
      <c r="C4" s="17" t="inlineStr">
        <is>
          <t>P1</t>
        </is>
      </c>
      <c r="D4" s="21" t="n">
        <v>46220</v>
      </c>
      <c r="E4" s="17" t="inlineStr">
        <is>
          <t>Not Started</t>
        </is>
      </c>
      <c r="F4" s="17" t="inlineStr">
        <is>
          <t>BE Dev</t>
        </is>
      </c>
      <c r="G4" s="18" t="inlineStr">
        <is>
          <t>Live Red Gold + Flatiron pull → SP write; records-in = records-out; zero duplicates across re-run; matches Node-version output byte-for-byte for 100 sample tickets.</t>
        </is>
      </c>
      <c r="H4" s="18" t="inlineStr">
        <is>
          <t>M1</t>
        </is>
      </c>
      <c r="I4" s="30" t="n"/>
      <c r="J4" s="17">
        <f>IF(I4="","",NETWORKDAYS(D4,I4)-1)</f>
        <v/>
      </c>
    </row>
    <row r="5" ht="60" customHeight="1">
      <c r="A5" s="29" t="inlineStr">
        <is>
          <t>M3</t>
        </is>
      </c>
      <c r="B5" s="18" t="inlineStr">
        <is>
          <t>Frontend wired end-to-end — all 13 pages on real API, mocks removed</t>
        </is>
      </c>
      <c r="C5" s="17" t="inlineStr">
        <is>
          <t>P1</t>
        </is>
      </c>
      <c r="D5" s="21" t="n">
        <v>46234</v>
      </c>
      <c r="E5" s="17" t="inlineStr">
        <is>
          <t>Not Started</t>
        </is>
      </c>
      <c r="F5" s="17" t="inlineStr">
        <is>
          <t>FE Dev</t>
        </is>
      </c>
      <c r="G5" s="18" t="inlineStr">
        <is>
          <t>Mock data imports removed from Dashboard/Registry/Monitor/Alerts/Vault/Connected/Push/Admin/Studio; Wizard Step 4 &amp; 6 functional; Recharts wired.</t>
        </is>
      </c>
      <c r="H5" s="18" t="inlineStr">
        <is>
          <t>M2</t>
        </is>
      </c>
      <c r="I5" s="30" t="n"/>
      <c r="J5" s="17">
        <f>IF(I5="","",NETWORKDAYS(D5,I5)-1)</f>
        <v/>
      </c>
    </row>
    <row r="6" ht="60" customHeight="1">
      <c r="A6" s="29" t="inlineStr">
        <is>
          <t>M4</t>
        </is>
      </c>
      <c r="B6" s="18" t="inlineStr">
        <is>
          <t>Auth + Multi-tenancy + RBAC live (4 roles + JWT + row-level org filter)</t>
        </is>
      </c>
      <c r="C6" s="17" t="inlineStr">
        <is>
          <t>P1</t>
        </is>
      </c>
      <c r="D6" s="21" t="n">
        <v>46248</v>
      </c>
      <c r="E6" s="17" t="inlineStr">
        <is>
          <t>Not Started</t>
        </is>
      </c>
      <c r="F6" s="17" t="inlineStr">
        <is>
          <t>BE Dev</t>
        </is>
      </c>
      <c r="G6" s="18" t="inlineStr">
        <is>
          <t>Login flow works; cross-org data isolation verified by penetration test; permission matrix per Charter §5.8.2 enforced; audit log writes on sensitive actions.</t>
        </is>
      </c>
      <c r="H6" s="18" t="inlineStr">
        <is>
          <t>M3</t>
        </is>
      </c>
      <c r="I6" s="30" t="n"/>
      <c r="J6" s="17">
        <f>IF(I6="","",NETWORKDAYS(D6,I6)-1)</f>
        <v/>
      </c>
    </row>
    <row r="7" ht="60" customHeight="1">
      <c r="A7" s="29" t="inlineStr">
        <is>
          <t>M5</t>
        </is>
      </c>
      <c r="B7" s="18" t="inlineStr">
        <is>
          <t>MVP UAT signoff (Phase 1 complete)</t>
        </is>
      </c>
      <c r="C7" s="17" t="inlineStr">
        <is>
          <t>P1</t>
        </is>
      </c>
      <c r="D7" s="21" t="n">
        <v>46262</v>
      </c>
      <c r="E7" s="17" t="inlineStr">
        <is>
          <t>Not Started</t>
        </is>
      </c>
      <c r="F7" s="17" t="inlineStr">
        <is>
          <t>BA</t>
        </is>
      </c>
      <c r="G7" s="18" t="inlineStr">
        <is>
          <t>Stakeholder UAT scripts passed; Charter §10 metrics met (Operator setup &lt;30 min, 0% hardcoded creds, test-before-publish 100%); production deploy approved.</t>
        </is>
      </c>
      <c r="H7" s="18" t="inlineStr">
        <is>
          <t>M4</t>
        </is>
      </c>
      <c r="I7" s="30" t="n"/>
      <c r="J7" s="17">
        <f>IF(I7="","",NETWORKDAYS(D7,I7)-1)</f>
        <v/>
      </c>
    </row>
    <row r="8" ht="60" customHeight="1">
      <c r="A8" s="29" t="inlineStr">
        <is>
          <t>M6</t>
        </is>
      </c>
      <c r="B8" s="18" t="inlineStr">
        <is>
          <t>AI Auto-Map + NL Transformation GA</t>
        </is>
      </c>
      <c r="C8" s="17" t="inlineStr">
        <is>
          <t>P2</t>
        </is>
      </c>
      <c r="D8" s="21" t="n">
        <v>46290</v>
      </c>
      <c r="E8" s="17" t="inlineStr">
        <is>
          <t>Not Started</t>
        </is>
      </c>
      <c r="F8" s="17" t="inlineStr">
        <is>
          <t>BE Dev</t>
        </is>
      </c>
      <c r="G8" s="18" t="inlineStr">
        <is>
          <t>Auto-map &gt;70% accuracy on 50-pair fixture (Charter §10); NL → expression sandbox compiles &amp; runs; human-confirmation gate present.</t>
        </is>
      </c>
      <c r="H8" s="18" t="inlineStr">
        <is>
          <t>M5</t>
        </is>
      </c>
      <c r="I8" s="30" t="n"/>
      <c r="J8" s="17">
        <f>IF(I8="","",NETWORKDAYS(D8,I8)-1)</f>
        <v/>
      </c>
    </row>
    <row r="9" ht="60" customHeight="1">
      <c r="A9" s="29" t="inlineStr">
        <is>
          <t>M7</t>
        </is>
      </c>
      <c r="B9" s="18" t="inlineStr">
        <is>
          <t>Trading Console + Health Dashboard GA (real data, real-time)</t>
        </is>
      </c>
      <c r="C9" s="17" t="inlineStr">
        <is>
          <t>P2</t>
        </is>
      </c>
      <c r="D9" s="21" t="n">
        <v>46304</v>
      </c>
      <c r="E9" s="17" t="inlineStr">
        <is>
          <t>Not Started</t>
        </is>
      </c>
      <c r="F9" s="17" t="inlineStr">
        <is>
          <t>FE Dev</t>
        </is>
      </c>
      <c r="G9" s="18" t="inlineStr">
        <is>
          <t>Per-message trace expandable; one-click Create Task; Charts/SVG removed; 4-worker Parallel mode demonstrates 3x throughput vs Serial.</t>
        </is>
      </c>
      <c r="H9" s="18" t="inlineStr">
        <is>
          <t>M6</t>
        </is>
      </c>
      <c r="I9" s="30" t="n"/>
      <c r="J9" s="17">
        <f>IF(I9="","",NETWORKDAYS(D9,I9)-1)</f>
        <v/>
      </c>
    </row>
    <row r="10" ht="60" customHeight="1">
      <c r="A10" s="29" t="inlineStr">
        <is>
          <t>M8</t>
        </is>
      </c>
      <c r="B10" s="18" t="inlineStr">
        <is>
          <t>Master Entity Catalog + DB/File/MQ connectors + Scraping Engine GA</t>
        </is>
      </c>
      <c r="C10" s="17" t="inlineStr">
        <is>
          <t>P2</t>
        </is>
      </c>
      <c r="D10" s="21" t="n">
        <v>46325</v>
      </c>
      <c r="E10" s="17" t="inlineStr">
        <is>
          <t>Not Started</t>
        </is>
      </c>
      <c r="F10" s="17" t="inlineStr">
        <is>
          <t>BE Dev</t>
        </is>
      </c>
      <c r="G10" s="18" t="inlineStr">
        <is>
          <t>Entity tree + field-level usage live; SQL Server + Postgres + CSV + Apify + Playwright connectors pass happy + error paths; scraping-breakage screenshot alert wired.</t>
        </is>
      </c>
      <c r="H10" s="18" t="inlineStr">
        <is>
          <t>M7</t>
        </is>
      </c>
      <c r="I10" s="30" t="n"/>
      <c r="J10" s="17">
        <f>IF(I10="","",NETWORKDAYS(D10,I10)-1)</f>
        <v/>
      </c>
    </row>
    <row r="11" ht="60" customHeight="1">
      <c r="A11" s="29" t="inlineStr">
        <is>
          <t>M9</t>
        </is>
      </c>
      <c r="B11" s="18" t="inlineStr">
        <is>
          <t>Phase 2 UAT signoff + production deploy</t>
        </is>
      </c>
      <c r="C11" s="17" t="inlineStr">
        <is>
          <t>P2</t>
        </is>
      </c>
      <c r="D11" s="21" t="n">
        <v>46339</v>
      </c>
      <c r="E11" s="17" t="inlineStr">
        <is>
          <t>Not Started</t>
        </is>
      </c>
      <c r="F11" s="17" t="inlineStr">
        <is>
          <t>BA</t>
        </is>
      </c>
      <c r="G11" s="18" t="inlineStr">
        <is>
          <t>Full Phase 2 acceptance script passed; alerting end-to-end (email + escalation + auto-pause); RBAC resource overrides verified; on-call runbook handed over.</t>
        </is>
      </c>
      <c r="H11" s="18" t="inlineStr">
        <is>
          <t>M8</t>
        </is>
      </c>
      <c r="I11" s="30" t="n"/>
      <c r="J11" s="17">
        <f>IF(I11="","",NETWORKDAYS(D11,I11)-1)</f>
        <v/>
      </c>
    </row>
  </sheetData>
  <conditionalFormatting sqref="E2:E11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5">
      <formula>"At Risk"</formula>
    </cfRule>
    <cfRule type="cellIs" priority="4" operator="equal" dxfId="3">
      <formula>"Achieved"</formula>
    </cfRule>
    <cfRule type="cellIs" priority="5" operator="equal" dxfId="2">
      <formula>"Missed"</formula>
    </cfRule>
  </conditionalFormatting>
  <dataValidations count="1">
    <dataValidation sqref="E2:E11" showDropDown="0" showInputMessage="0" showErrorMessage="0" allowBlank="1" type="list">
      <formula1>"Not Started,In Progress,At Risk,Achieved,Missed"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4" customWidth="1" min="5" max="5"/>
    <col width="16" customWidth="1" min="6" max="6"/>
    <col width="18" customWidth="1" min="7" max="7"/>
    <col width="18" customWidth="1" min="8" max="8"/>
    <col width="12" customWidth="1" min="9" max="9"/>
  </cols>
  <sheetData>
    <row r="1">
      <c r="A1" s="2" t="inlineStr">
        <is>
          <t>Effort by Phase × Role (live from WBS — never edit cells here)</t>
        </is>
      </c>
    </row>
    <row r="2" ht="30" customHeight="1">
      <c r="A2" s="16" t="inlineStr">
        <is>
          <t>Phase</t>
        </is>
      </c>
      <c r="B2" s="16" t="inlineStr">
        <is>
          <t>BA Hours</t>
        </is>
      </c>
      <c r="C2" s="16" t="inlineStr">
        <is>
          <t>FE Dev Hours</t>
        </is>
      </c>
      <c r="D2" s="16" t="inlineStr">
        <is>
          <t>BE Dev Hours</t>
        </is>
      </c>
      <c r="E2" s="16" t="inlineStr">
        <is>
          <t>QA Hours</t>
        </is>
      </c>
      <c r="F2" s="16" t="inlineStr">
        <is>
          <t>DevOps Hours</t>
        </is>
      </c>
      <c r="G2" s="16" t="inlineStr">
        <is>
          <t>Total Vibe Hours</t>
        </is>
      </c>
      <c r="H2" s="16" t="inlineStr">
        <is>
          <t>Total Person-Days</t>
        </is>
      </c>
      <c r="I2" s="16" t="inlineStr">
        <is>
          <t>% of Total</t>
        </is>
      </c>
    </row>
    <row r="3">
      <c r="A3" s="29" t="inlineStr">
        <is>
          <t>Phase 0</t>
        </is>
      </c>
      <c r="B3" s="31">
        <f>SUMIFS(WBS!G4:G113,WBS!B4:B113,"Phase 0",WBS!E4:E113,"BA")</f>
        <v/>
      </c>
      <c r="C3" s="31">
        <f>SUMIFS(WBS!G4:G113,WBS!B4:B113,"Phase 0",WBS!E4:E113,"FE")</f>
        <v/>
      </c>
      <c r="D3" s="31">
        <f>SUMIFS(WBS!G4:G113,WBS!B4:B113,"Phase 0",WBS!E4:E113,"BE")+SUMIFS(WBS!G4:G113,WBS!B4:B113,"Phase 0",WBS!E4:E113,"Backend")</f>
        <v/>
      </c>
      <c r="E3" s="31">
        <f>SUMIFS(WBS!G4:G113,WBS!B4:B113,"Phase 0",WBS!E4:E113,"QA")</f>
        <v/>
      </c>
      <c r="F3" s="31">
        <f>SUMIFS(WBS!G4:G113,WBS!B4:B113,"Phase 0",WBS!E4:E113,"DevOps")</f>
        <v/>
      </c>
      <c r="G3" s="31">
        <f>SUM(B3:F3)</f>
        <v/>
      </c>
      <c r="H3" s="31">
        <f>G3/8</f>
        <v/>
      </c>
      <c r="I3" s="32">
        <f>IFERROR(G3/$G$6,0)</f>
        <v/>
      </c>
    </row>
    <row r="4">
      <c r="A4" s="29" t="inlineStr">
        <is>
          <t>Phase 1</t>
        </is>
      </c>
      <c r="B4" s="31">
        <f>SUMIFS(WBS!G4:G113,WBS!B4:B113,"Phase 1",WBS!E4:E113,"BA")</f>
        <v/>
      </c>
      <c r="C4" s="31">
        <f>SUMIFS(WBS!G4:G113,WBS!B4:B113,"Phase 1",WBS!E4:E113,"FE")</f>
        <v/>
      </c>
      <c r="D4" s="31">
        <f>SUMIFS(WBS!G4:G113,WBS!B4:B113,"Phase 1",WBS!E4:E113,"BE")+SUMIFS(WBS!G4:G113,WBS!B4:B113,"Phase 1",WBS!E4:E113,"Backend")</f>
        <v/>
      </c>
      <c r="E4" s="31">
        <f>SUMIFS(WBS!G4:G113,WBS!B4:B113,"Phase 1",WBS!E4:E113,"QA")</f>
        <v/>
      </c>
      <c r="F4" s="31">
        <f>SUMIFS(WBS!G4:G113,WBS!B4:B113,"Phase 1",WBS!E4:E113,"DevOps")</f>
        <v/>
      </c>
      <c r="G4" s="31">
        <f>SUM(B4:F4)</f>
        <v/>
      </c>
      <c r="H4" s="31">
        <f>G4/8</f>
        <v/>
      </c>
      <c r="I4" s="32">
        <f>IFERROR(G4/$G$6,0)</f>
        <v/>
      </c>
    </row>
    <row r="5">
      <c r="A5" s="29" t="inlineStr">
        <is>
          <t>Phase 2</t>
        </is>
      </c>
      <c r="B5" s="31">
        <f>SUMIFS(WBS!G4:G113,WBS!B4:B113,"Phase 2",WBS!E4:E113,"BA")</f>
        <v/>
      </c>
      <c r="C5" s="31">
        <f>SUMIFS(WBS!G4:G113,WBS!B4:B113,"Phase 2",WBS!E4:E113,"FE")</f>
        <v/>
      </c>
      <c r="D5" s="31">
        <f>SUMIFS(WBS!G4:G113,WBS!B4:B113,"Phase 2",WBS!E4:E113,"BE")+SUMIFS(WBS!G4:G113,WBS!B4:B113,"Phase 2",WBS!E4:E113,"Backend")</f>
        <v/>
      </c>
      <c r="E5" s="31">
        <f>SUMIFS(WBS!G4:G113,WBS!B4:B113,"Phase 2",WBS!E4:E113,"QA")</f>
        <v/>
      </c>
      <c r="F5" s="31">
        <f>SUMIFS(WBS!G4:G113,WBS!B4:B113,"Phase 2",WBS!E4:E113,"DevOps")</f>
        <v/>
      </c>
      <c r="G5" s="31">
        <f>SUM(B5:F5)</f>
        <v/>
      </c>
      <c r="H5" s="31">
        <f>G5/8</f>
        <v/>
      </c>
      <c r="I5" s="32">
        <f>IFERROR(G5/$G$6,0)</f>
        <v/>
      </c>
    </row>
    <row r="6">
      <c r="A6" s="16" t="inlineStr">
        <is>
          <t>GRAND TOTAL</t>
        </is>
      </c>
      <c r="B6" s="33">
        <f>SUM(B3:B5)</f>
        <v/>
      </c>
      <c r="C6" s="33">
        <f>SUM(C3:C5)</f>
        <v/>
      </c>
      <c r="D6" s="33">
        <f>SUM(D3:D5)</f>
        <v/>
      </c>
      <c r="E6" s="33">
        <f>SUM(E3:E5)</f>
        <v/>
      </c>
      <c r="F6" s="33">
        <f>SUM(F3:F5)</f>
        <v/>
      </c>
      <c r="G6" s="33">
        <f>SUM(G3:G5)</f>
        <v/>
      </c>
      <c r="H6" s="33">
        <f>G6/8</f>
        <v/>
      </c>
      <c r="I6" s="16" t="inlineStr">
        <is>
          <t>100.0%</t>
        </is>
      </c>
    </row>
    <row r="9">
      <c r="A9" s="5" t="inlineStr">
        <is>
          <t>Capacity check — over-allocation flag</t>
        </is>
      </c>
    </row>
    <row r="10">
      <c r="A10" s="16" t="inlineStr">
        <is>
          <t>Role</t>
        </is>
      </c>
      <c r="B10" s="16" t="inlineStr">
        <is>
          <t>Total Vibe Hours</t>
        </is>
      </c>
      <c r="C10" s="16" t="inlineStr">
        <is>
          <t>Person-Days</t>
        </is>
      </c>
      <c r="D10" s="16" t="inlineStr">
        <is>
          <t>Months (÷160)</t>
        </is>
      </c>
      <c r="E10" s="16" t="inlineStr">
        <is>
          <t>Calendar Months Avail</t>
        </is>
      </c>
      <c r="F10" s="16" t="inlineStr">
        <is>
          <t>Capacity Flag</t>
        </is>
      </c>
    </row>
    <row r="11">
      <c r="A11" s="29" t="inlineStr">
        <is>
          <t>BA</t>
        </is>
      </c>
      <c r="B11" s="31">
        <f>SUM(B3:B5)</f>
        <v/>
      </c>
      <c r="C11" s="31">
        <f>B11/8</f>
        <v/>
      </c>
      <c r="D11" s="34">
        <f>B11/160</f>
        <v/>
      </c>
      <c r="E11" s="35" t="n">
        <v>5.6</v>
      </c>
      <c r="F11" s="29">
        <f>IF(D11&gt;E11,"OVER-ALLOCATED",IF(D11&gt;E11*0.85,"AT-LIMIT","OK"))</f>
        <v/>
      </c>
    </row>
    <row r="12">
      <c r="A12" s="29" t="inlineStr">
        <is>
          <t>FE</t>
        </is>
      </c>
      <c r="B12" s="31">
        <f>SUM(C3:C5)</f>
        <v/>
      </c>
      <c r="C12" s="31">
        <f>B12/8</f>
        <v/>
      </c>
      <c r="D12" s="34">
        <f>B12/160</f>
        <v/>
      </c>
      <c r="E12" s="35" t="n">
        <v>5.6</v>
      </c>
      <c r="F12" s="29">
        <f>IF(D12&gt;E12,"OVER-ALLOCATED",IF(D12&gt;E12*0.85,"AT-LIMIT","OK"))</f>
        <v/>
      </c>
    </row>
    <row r="13">
      <c r="A13" s="29" t="inlineStr">
        <is>
          <t>BE</t>
        </is>
      </c>
      <c r="B13" s="31">
        <f>SUM(D3:D5)</f>
        <v/>
      </c>
      <c r="C13" s="31">
        <f>B13/8</f>
        <v/>
      </c>
      <c r="D13" s="34">
        <f>B13/160</f>
        <v/>
      </c>
      <c r="E13" s="35" t="n">
        <v>5.6</v>
      </c>
      <c r="F13" s="29">
        <f>IF(D13&gt;E13,"OVER-ALLOCATED",IF(D13&gt;E13*0.85,"AT-LIMIT","OK"))</f>
        <v/>
      </c>
    </row>
    <row r="14">
      <c r="A14" s="29" t="inlineStr">
        <is>
          <t>QA</t>
        </is>
      </c>
      <c r="B14" s="31">
        <f>SUM(E3:E5)</f>
        <v/>
      </c>
      <c r="C14" s="31">
        <f>B14/8</f>
        <v/>
      </c>
      <c r="D14" s="34">
        <f>B14/160</f>
        <v/>
      </c>
      <c r="E14" s="35" t="n">
        <v>5.6</v>
      </c>
      <c r="F14" s="29">
        <f>IF(D14&gt;E14,"OVER-ALLOCATED",IF(D14&gt;E14*0.85,"AT-LIMIT","OK"))</f>
        <v/>
      </c>
    </row>
    <row r="15">
      <c r="A15" s="29" t="inlineStr">
        <is>
          <t>DevOps</t>
        </is>
      </c>
      <c r="B15" s="31">
        <f>SUM(F3:F5)</f>
        <v/>
      </c>
      <c r="C15" s="31">
        <f>B15/8</f>
        <v/>
      </c>
      <c r="D15" s="34">
        <f>B15/160</f>
        <v/>
      </c>
      <c r="E15" s="35" t="n">
        <v>5.6</v>
      </c>
      <c r="F15" s="29">
        <f>IF(D15&gt;E15,"OVER-ALLOCATED",IF(D15&gt;E15*0.85,"AT-LIMIT","OK"))</f>
        <v/>
      </c>
    </row>
    <row r="17">
      <c r="A17" s="15" t="inlineStr">
        <is>
          <t>Note: BE Dev Hours sums both 'BE' and 'Backend' role tags on WBS. Adjust headcount if any role is OVER-ALLOCATED.</t>
        </is>
      </c>
    </row>
  </sheetData>
  <mergeCells count="3">
    <mergeCell ref="A1:I1"/>
    <mergeCell ref="A17:I17"/>
    <mergeCell ref="A9:I9"/>
  </mergeCells>
  <conditionalFormatting sqref="F11:F15">
    <cfRule type="cellIs" priority="1" operator="equal" dxfId="2">
      <formula>"OVER-ALLOCATED"</formula>
    </cfRule>
    <cfRule type="cellIs" priority="2" operator="equal" dxfId="5">
      <formula>"AT-LIMIT"</formula>
    </cfRule>
    <cfRule type="cellIs" priority="3" operator="equal" dxfId="3">
      <formula>"OK"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50" customWidth="1" min="4" max="4"/>
    <col width="50" customWidth="1" min="5" max="5"/>
    <col width="16" customWidth="1" min="6" max="6"/>
    <col width="16" customWidth="1" min="7" max="7"/>
    <col width="14" customWidth="1" min="8" max="8"/>
    <col width="16" customWidth="1" min="9" max="9"/>
  </cols>
  <sheetData>
    <row r="1" ht="30" customHeight="1">
      <c r="A1" s="16" t="inlineStr">
        <is>
          <t>Sprint</t>
        </is>
      </c>
      <c r="B1" s="16" t="inlineStr">
        <is>
          <t>Start Date</t>
        </is>
      </c>
      <c r="C1" s="16" t="inlineStr">
        <is>
          <t>End Date</t>
        </is>
      </c>
      <c r="D1" s="16" t="inlineStr">
        <is>
          <t>Sprint Goal</t>
        </is>
      </c>
      <c r="E1" s="16" t="inlineStr">
        <is>
          <t>Demo Items</t>
        </is>
      </c>
      <c r="F1" s="16" t="inlineStr">
        <is>
          <t>Capacity Hours</t>
        </is>
      </c>
      <c r="G1" s="16" t="inlineStr">
        <is>
          <t>Loaded Hours</t>
        </is>
      </c>
      <c r="H1" s="16" t="inlineStr">
        <is>
          <t>Utilization %</t>
        </is>
      </c>
      <c r="I1" s="16" t="inlineStr">
        <is>
          <t>Milestone Hit</t>
        </is>
      </c>
    </row>
    <row r="2" ht="56" customHeight="1">
      <c r="A2" s="29" t="inlineStr">
        <is>
          <t>Sprint 0</t>
        </is>
      </c>
      <c r="B2" s="30" t="n">
        <v>46167</v>
      </c>
      <c r="C2" s="30" t="n">
        <v>46178</v>
      </c>
      <c r="D2" s="18" t="inlineStr">
        <is>
          <t>Sprint 0 — Foundation &amp; Setup</t>
        </is>
      </c>
      <c r="E2" s="18" t="inlineStr">
        <is>
          <t>.NET solution skeleton · EF Core schema · docker-compose · CI green · BA baseline doc · QA test strategy</t>
        </is>
      </c>
      <c r="F2" s="29" t="n">
        <v>320</v>
      </c>
      <c r="G2" s="36">
        <f>SUMIFS(WBS!G4:G113,WBS!H4:H113,0)</f>
        <v/>
      </c>
      <c r="H2" s="37">
        <f>IFERROR(G2/F2,0)</f>
        <v/>
      </c>
      <c r="I2" s="17" t="inlineStr">
        <is>
          <t>M0</t>
        </is>
      </c>
    </row>
    <row r="3" ht="56" customHeight="1">
      <c r="A3" s="29" t="inlineStr">
        <is>
          <t>Sprint 1</t>
        </is>
      </c>
      <c r="B3" s="30" t="n">
        <v>46181</v>
      </c>
      <c r="C3" s="30" t="n">
        <v>46192</v>
      </c>
      <c r="D3" s="18" t="inlineStr">
        <is>
          <t>Sprint 1 — Hub Core Abstractions + Persistence</t>
        </is>
      </c>
      <c r="E3" s="18" t="inlineStr">
        <is>
          <t>ISourceConnector/IDest/ITransform interfaces · MessageEnvelope · IntegrationBus + Channels · 4 repositories</t>
        </is>
      </c>
      <c r="F3" s="29" t="n">
        <v>320</v>
      </c>
      <c r="G3" s="36">
        <f>SUMIFS(WBS!G4:G113,WBS!H4:H113,1)</f>
        <v/>
      </c>
      <c r="H3" s="37">
        <f>IFERROR(G3/F3,0)</f>
        <v/>
      </c>
      <c r="I3" s="17" t="inlineStr">
        <is>
          <t>—</t>
        </is>
      </c>
    </row>
    <row r="4" ht="56" customHeight="1">
      <c r="A4" s="29" t="inlineStr">
        <is>
          <t>Sprint 2</t>
        </is>
      </c>
      <c r="B4" s="30" t="n">
        <v>46195</v>
      </c>
      <c r="C4" s="30" t="n">
        <v>46206</v>
      </c>
      <c r="D4" s="18" t="inlineStr">
        <is>
          <t>Sprint 2 — Router, Workers, Transform, Polly, DLQ</t>
        </is>
      </c>
      <c r="E4" s="18" t="inlineStr">
        <is>
          <t>Router fan-out · SubscriptionWorker · TransformPipeline · Polly retry + breaker · DLQ auto-replay</t>
        </is>
      </c>
      <c r="F4" s="29" t="n">
        <v>320</v>
      </c>
      <c r="G4" s="36">
        <f>SUMIFS(WBS!G4:G113,WBS!H4:H113,2)</f>
        <v/>
      </c>
      <c r="H4" s="37">
        <f>IFERROR(G4/F4,0)</f>
        <v/>
      </c>
      <c r="I4" s="17" t="inlineStr">
        <is>
          <t>M1</t>
        </is>
      </c>
    </row>
    <row r="5" ht="56" customHeight="1">
      <c r="A5" s="29" t="inlineStr">
        <is>
          <t>Sprint 3</t>
        </is>
      </c>
      <c r="B5" s="30" t="n">
        <v>46209</v>
      </c>
      <c r="C5" s="30" t="n">
        <v>46220</v>
      </c>
      <c r="D5" s="18" t="inlineStr">
        <is>
          <t>Sprint 3 — Port Jira (Red Gold + Flatiron) + SharePoint + Mapper</t>
        </is>
      </c>
      <c r="E5" s="18" t="inlineStr">
        <is>
          <t>Live Jira→SP via .NET; parity to Node baseline on 100-ticket fixture</t>
        </is>
      </c>
      <c r="F5" s="29" t="n">
        <v>320</v>
      </c>
      <c r="G5" s="36">
        <f>SUMIFS(WBS!G4:G113,WBS!H4:H113,3)</f>
        <v/>
      </c>
      <c r="H5" s="37">
        <f>IFERROR(G5/F5,0)</f>
        <v/>
      </c>
      <c r="I5" s="17" t="inlineStr">
        <is>
          <t>M2</t>
        </is>
      </c>
    </row>
    <row r="6" ht="56" customHeight="1">
      <c r="A6" s="29" t="inlineStr">
        <is>
          <t>Sprint 4</t>
        </is>
      </c>
      <c r="B6" s="30" t="n">
        <v>46223</v>
      </c>
      <c r="C6" s="30" t="n">
        <v>46234</v>
      </c>
      <c r="D6" s="18" t="inlineStr">
        <is>
          <t>Sprint 4 — Vault, Scheduler, Run mgmt, API parity, RBAC schema</t>
        </is>
      </c>
      <c r="E6" s="18" t="inlineStr">
        <is>
          <t>Quartz cron · CredentialService AES-256 · /integrations + /jira + /sp routes · JWT + RLS · audit middleware</t>
        </is>
      </c>
      <c r="F6" s="29" t="n">
        <v>320</v>
      </c>
      <c r="G6" s="36">
        <f>SUMIFS(WBS!G4:G113,WBS!H4:H113,4)</f>
        <v/>
      </c>
      <c r="H6" s="37">
        <f>IFERROR(G6/F6,0)</f>
        <v/>
      </c>
      <c r="I6" s="17" t="inlineStr">
        <is>
          <t>—</t>
        </is>
      </c>
    </row>
    <row r="7" ht="56" customHeight="1">
      <c r="A7" s="29" t="inlineStr">
        <is>
          <t>Sprint 5</t>
        </is>
      </c>
      <c r="B7" s="30" t="n">
        <v>46237</v>
      </c>
      <c r="C7" s="30" t="n">
        <v>46248</v>
      </c>
      <c r="D7" s="18" t="inlineStr">
        <is>
          <t>Sprint 5 — Frontend wire-up + Studio backend + MVP UAT</t>
        </is>
      </c>
      <c r="E7" s="18" t="inlineStr">
        <is>
          <t>13 pages wired (no mocks) · Login · Wizard 4+6 · Studio · Recharts · UAT signoff</t>
        </is>
      </c>
      <c r="F7" s="29" t="n">
        <v>320</v>
      </c>
      <c r="G7" s="36">
        <f>SUMIFS(WBS!G4:G113,WBS!H4:H113,5)</f>
        <v/>
      </c>
      <c r="H7" s="37">
        <f>IFERROR(G7/F7,0)</f>
        <v/>
      </c>
      <c r="I7" s="17" t="inlineStr">
        <is>
          <t>M3, M4, M5</t>
        </is>
      </c>
    </row>
    <row r="8" ht="56" customHeight="1">
      <c r="A8" s="29" t="inlineStr">
        <is>
          <t>Sprint 6</t>
        </is>
      </c>
      <c r="B8" s="30" t="n">
        <v>46251</v>
      </c>
      <c r="C8" s="30" t="n">
        <v>46262</v>
      </c>
      <c r="D8" s="18" t="inlineStr">
        <is>
          <t>Sprint 6 — AI Auto-Mapping + NL Transformation</t>
        </is>
      </c>
      <c r="E8" s="18" t="inlineStr">
        <is>
          <t>Claude-API mapper with &gt;70% accuracy · NL→Roslyn sandbox · Canvas auto-map UX</t>
        </is>
      </c>
      <c r="F8" s="29" t="n">
        <v>320</v>
      </c>
      <c r="G8" s="36">
        <f>SUMIFS(WBS!G4:G113,WBS!H4:H113,6)</f>
        <v/>
      </c>
      <c r="H8" s="37">
        <f>IFERROR(G8/F8,0)</f>
        <v/>
      </c>
      <c r="I8" s="17" t="inlineStr">
        <is>
          <t>M6</t>
        </is>
      </c>
    </row>
    <row r="9" ht="56" customHeight="1">
      <c r="A9" s="29" t="inlineStr">
        <is>
          <t>Sprint 7</t>
        </is>
      </c>
      <c r="B9" s="30" t="n">
        <v>46265</v>
      </c>
      <c r="C9" s="30" t="n">
        <v>46276</v>
      </c>
      <c r="D9" s="18" t="inlineStr">
        <is>
          <t>Sprint 7 — Trading Console + Health Dashboard (real-time)</t>
        </is>
      </c>
      <c r="E9" s="18" t="inlineStr">
        <is>
          <t>Per-message trace · adapter tiles + volume + error trend · 4-worker perf demo</t>
        </is>
      </c>
      <c r="F9" s="29" t="n">
        <v>320</v>
      </c>
      <c r="G9" s="36">
        <f>SUMIFS(WBS!G4:G113,WBS!H4:H113,7)</f>
        <v/>
      </c>
      <c r="H9" s="37">
        <f>IFERROR(G9/F9,0)</f>
        <v/>
      </c>
      <c r="I9" s="17" t="inlineStr">
        <is>
          <t>M7</t>
        </is>
      </c>
    </row>
    <row r="10" ht="56" customHeight="1">
      <c r="A10" s="29" t="inlineStr">
        <is>
          <t>Sprint 8</t>
        </is>
      </c>
      <c r="B10" s="30" t="n">
        <v>46279</v>
      </c>
      <c r="C10" s="30" t="n">
        <v>46290</v>
      </c>
      <c r="D10" s="18" t="inlineStr">
        <is>
          <t>Sprint 8 — Master Entity Catalog + DB/File/MQ + Scraping</t>
        </is>
      </c>
      <c r="E10" s="18" t="inlineStr">
        <is>
          <t>Entity tree + 5 new connectors (SQL/PG/CSV/Apify/Playwright)</t>
        </is>
      </c>
      <c r="F10" s="29" t="n">
        <v>320</v>
      </c>
      <c r="G10" s="36">
        <f>SUMIFS(WBS!G4:G113,WBS!H4:H113,8)</f>
        <v/>
      </c>
      <c r="H10" s="37">
        <f>IFERROR(G10/F10,0)</f>
        <v/>
      </c>
      <c r="I10" s="17" t="inlineStr">
        <is>
          <t>M8</t>
        </is>
      </c>
    </row>
    <row r="11" ht="56" customHeight="1">
      <c r="A11" s="29" t="inlineStr">
        <is>
          <t>Sprint 9</t>
        </is>
      </c>
      <c r="B11" s="30" t="n">
        <v>46293</v>
      </c>
      <c r="C11" s="30" t="n">
        <v>46304</v>
      </c>
      <c r="D11" s="18" t="inlineStr">
        <is>
          <t>Sprint 9 — Full Alerting + Task Escalation + RBAC overrides + Phase 2 UAT</t>
        </is>
      </c>
      <c r="E11" s="18" t="inlineStr">
        <is>
          <t>Email alerts + escalation + auto-pause · cron UI · resource overrides · audit viewer · prod deploy</t>
        </is>
      </c>
      <c r="F11" s="29" t="n">
        <v>320</v>
      </c>
      <c r="G11" s="36">
        <f>SUMIFS(WBS!G4:G113,WBS!H4:H113,9)</f>
        <v/>
      </c>
      <c r="H11" s="37">
        <f>IFERROR(G11/F11,0)</f>
        <v/>
      </c>
      <c r="I11" s="17" t="inlineStr">
        <is>
          <t>M9</t>
        </is>
      </c>
    </row>
    <row r="13">
      <c r="A13" s="15" t="inlineStr">
        <is>
          <t>Capacity assumption: 4 people × 8 hrs × 10 working days = 320 hrs/sprint. Adjust col F if team size changes.</t>
        </is>
      </c>
    </row>
  </sheetData>
  <mergeCells count="1">
    <mergeCell ref="A13:I13"/>
  </mergeCells>
  <conditionalFormatting sqref="H2:H11">
    <cfRule type="cellIs" priority="1" operator="greaterThan" dxfId="2">
      <formula>1</formula>
    </cfRule>
    <cfRule type="cellIs" priority="2" operator="between" dxfId="5">
      <formula>0.85</formula>
      <formula>1</formula>
    </cfRule>
    <cfRule type="cellIs" priority="3" operator="lessThan" dxfId="3">
      <formula>0.85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12" customWidth="1" min="4" max="4"/>
    <col width="10" customWidth="1" min="5" max="5"/>
    <col width="11" customWidth="1" min="6" max="6"/>
    <col width="60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16" t="inlineStr">
        <is>
          <t>ID</t>
        </is>
      </c>
      <c r="B1" s="16" t="inlineStr">
        <is>
          <t>Type</t>
        </is>
      </c>
      <c r="C1" s="16" t="inlineStr">
        <is>
          <t>Description</t>
        </is>
      </c>
      <c r="D1" s="16" t="inlineStr">
        <is>
          <t>Probability</t>
        </is>
      </c>
      <c r="E1" s="16" t="inlineStr">
        <is>
          <t>Impact</t>
        </is>
      </c>
      <c r="F1" s="16" t="inlineStr">
        <is>
          <t>Severity</t>
        </is>
      </c>
      <c r="G1" s="16" t="inlineStr">
        <is>
          <t>Mitigation / Action</t>
        </is>
      </c>
      <c r="H1" s="16" t="inlineStr">
        <is>
          <t>Owner</t>
        </is>
      </c>
      <c r="I1" s="16" t="inlineStr">
        <is>
          <t>Due Date</t>
        </is>
      </c>
      <c r="J1" s="16" t="inlineStr">
        <is>
          <t>Status</t>
        </is>
      </c>
    </row>
    <row r="2" ht="48" customHeight="1">
      <c r="A2" s="29" t="inlineStr">
        <is>
          <t>R-01</t>
        </is>
      </c>
      <c r="B2" s="17" t="inlineStr">
        <is>
          <t>Risk</t>
        </is>
      </c>
      <c r="C2" s="18" t="inlineStr">
        <is>
          <t>External API access not obtainable for some target systems (auth, rate limits, IP allow-list)</t>
        </is>
      </c>
      <c r="D2" s="17" t="inlineStr">
        <is>
          <t>M</t>
        </is>
      </c>
      <c r="E2" s="17" t="inlineStr">
        <is>
          <t>H</t>
        </is>
      </c>
      <c r="F2" s="17">
        <f>IFERROR(IF(OR(D2="—",E2="—"),"—",CHOOSE(MATCH(D2,{"L","M","H"},0),"L","M","H")&amp;"·"&amp;CHOOSE(MATCH(E2,{"L","M","H","C"},0),"L","M","H","C")),"—")</f>
        <v/>
      </c>
      <c r="G2" s="18" t="inlineStr">
        <is>
          <t>Three-tier fallback: browser-passthrough auth → Apify cloud → Playwright self-hosted. Flag scraping connectors with bot icon in registry.</t>
        </is>
      </c>
      <c r="H2" s="17" t="inlineStr">
        <is>
          <t>BA</t>
        </is>
      </c>
      <c r="I2" s="30" t="n">
        <v>46188</v>
      </c>
      <c r="J2" s="17" t="inlineStr">
        <is>
          <t>Open</t>
        </is>
      </c>
    </row>
    <row r="3" ht="48" customHeight="1">
      <c r="A3" s="29" t="inlineStr">
        <is>
          <t>R-02</t>
        </is>
      </c>
      <c r="B3" s="17" t="inlineStr">
        <is>
          <t>Risk</t>
        </is>
      </c>
      <c r="C3" s="18" t="inlineStr">
        <is>
          <t>Web scraping connectors break when target UI changes</t>
        </is>
      </c>
      <c r="D3" s="17" t="inlineStr">
        <is>
          <t>H</t>
        </is>
      </c>
      <c r="E3" s="17" t="inlineStr">
        <is>
          <t>M</t>
        </is>
      </c>
      <c r="F3" s="17">
        <f>IFERROR(IF(OR(D3="—",E3="—"),"—",CHOOSE(MATCH(D3,{"L","M","H"},0),"L","M","H")&amp;"·"&amp;CHOOSE(MATCH(E3,{"L","M","H","C"},0),"L","M","H","C")),"—")</f>
        <v/>
      </c>
      <c r="G3" s="18" t="inlineStr">
        <is>
          <t>Screenshot-diff alert on scrape failure; Designer notified immediately; flag scraping connectors as high-maintenance.</t>
        </is>
      </c>
      <c r="H3" s="17" t="inlineStr">
        <is>
          <t>BE Dev</t>
        </is>
      </c>
      <c r="I3" s="30" t="n">
        <v>46266</v>
      </c>
      <c r="J3" s="17" t="inlineStr">
        <is>
          <t>Open</t>
        </is>
      </c>
    </row>
    <row r="4" ht="48" customHeight="1">
      <c r="A4" s="29" t="inlineStr">
        <is>
          <t>R-03</t>
        </is>
      </c>
      <c r="B4" s="17" t="inlineStr">
        <is>
          <t>Risk</t>
        </is>
      </c>
      <c r="C4" s="18" t="inlineStr">
        <is>
          <t>Scope creep — Charter Phase 3/4 items pulled into MVP</t>
        </is>
      </c>
      <c r="D4" s="17" t="inlineStr">
        <is>
          <t>H</t>
        </is>
      </c>
      <c r="E4" s="17" t="inlineStr">
        <is>
          <t>H</t>
        </is>
      </c>
      <c r="F4" s="17">
        <f>IFERROR(IF(OR(D4="—",E4="—"),"—",CHOOSE(MATCH(D4,{"L","M","H"},0),"L","M","H")&amp;"·"&amp;CHOOSE(MATCH(E4,{"L","M","H","C"},0),"L","M","H","C")),"—")</f>
        <v/>
      </c>
      <c r="G4" s="18" t="inlineStr">
        <is>
          <t>Lock scope per phase; change-request process; weekly scope review against Charter §8 phase boundaries.</t>
        </is>
      </c>
      <c r="H4" s="17" t="inlineStr">
        <is>
          <t>BA</t>
        </is>
      </c>
      <c r="I4" s="30" t="n">
        <v>46171</v>
      </c>
      <c r="J4" s="17" t="inlineStr">
        <is>
          <t>Open</t>
        </is>
      </c>
    </row>
    <row r="5" ht="48" customHeight="1">
      <c r="A5" s="29" t="inlineStr">
        <is>
          <t>R-04</t>
        </is>
      </c>
      <c r="B5" s="17" t="inlineStr">
        <is>
          <t>Risk</t>
        </is>
      </c>
      <c r="C5" s="18" t="inlineStr">
        <is>
          <t>AI field mapper produces poor suggestions in domain-specific schemas</t>
        </is>
      </c>
      <c r="D5" s="17" t="inlineStr">
        <is>
          <t>M</t>
        </is>
      </c>
      <c r="E5" s="17" t="inlineStr">
        <is>
          <t>M</t>
        </is>
      </c>
      <c r="F5" s="17">
        <f>IFERROR(IF(OR(D5="—",E5="—"),"—",CHOOSE(MATCH(D5,{"L","M","H"},0),"L","M","H")&amp;"·"&amp;CHOOSE(MATCH(E5,{"L","M","H","C"},0),"L","M","H","C")),"—")</f>
        <v/>
      </c>
      <c r="G5" s="18" t="inlineStr">
        <is>
          <t>Always require human confirmation; log confirm/reject decisions to tune prompt; graceful fallback to manual map.</t>
        </is>
      </c>
      <c r="H5" s="17" t="inlineStr">
        <is>
          <t>BE Dev</t>
        </is>
      </c>
      <c r="I5" s="30" t="n">
        <v>46283</v>
      </c>
      <c r="J5" s="17" t="inlineStr">
        <is>
          <t>Open</t>
        </is>
      </c>
    </row>
    <row r="6" ht="48" customHeight="1">
      <c r="A6" s="29" t="inlineStr">
        <is>
          <t>R-05</t>
        </is>
      </c>
      <c r="B6" s="17" t="inlineStr">
        <is>
          <t>Risk</t>
        </is>
      </c>
      <c r="C6" s="18" t="inlineStr">
        <is>
          <t>Non-technical Operators find Mapping Canvas too complex</t>
        </is>
      </c>
      <c r="D6" s="17" t="inlineStr">
        <is>
          <t>M</t>
        </is>
      </c>
      <c r="E6" s="17" t="inlineStr">
        <is>
          <t>H</t>
        </is>
      </c>
      <c r="F6" s="17">
        <f>IFERROR(IF(OR(D6="—",E6="—"),"—",CHOOSE(MATCH(D6,{"L","M","H"},0),"L","M","H")&amp;"·"&amp;CHOOSE(MATCH(E6,{"L","M","H","C"},0),"L","M","H","C")),"—")</f>
        <v/>
      </c>
      <c r="G6" s="18" t="inlineStr">
        <is>
          <t>Two rounds of moderated UX testing in Sprint 5 + 8; progressive disclosure; one-click Request Designer Help.</t>
        </is>
      </c>
      <c r="H6" s="17" t="inlineStr">
        <is>
          <t>BA</t>
        </is>
      </c>
      <c r="I6" s="30" t="n">
        <v>46249</v>
      </c>
      <c r="J6" s="17" t="inlineStr">
        <is>
          <t>Open</t>
        </is>
      </c>
    </row>
    <row r="7" ht="48" customHeight="1">
      <c r="A7" s="29" t="inlineStr">
        <is>
          <t>R-06</t>
        </is>
      </c>
      <c r="B7" s="17" t="inlineStr">
        <is>
          <t>Risk</t>
        </is>
      </c>
      <c r="C7" s="18" t="inlineStr">
        <is>
          <t>Credential vault security vulnerability</t>
        </is>
      </c>
      <c r="D7" s="17" t="inlineStr">
        <is>
          <t>L</t>
        </is>
      </c>
      <c r="E7" s="17" t="inlineStr">
        <is>
          <t>C</t>
        </is>
      </c>
      <c r="F7" s="17">
        <f>IFERROR(IF(OR(D7="—",E7="—"),"—",CHOOSE(MATCH(D7,{"L","M","H"},0),"L","M","H")&amp;"·"&amp;CHOOSE(MATCH(E7,{"L","M","H","C"},0),"L","M","H","C")),"—")</f>
        <v/>
      </c>
      <c r="G7" s="18" t="inlineStr">
        <is>
          <t>AES-256-GCM + security review (M5 gate); never log raw values; OWASP top-10 covered in Sprint 5 QA task.</t>
        </is>
      </c>
      <c r="H7" s="17" t="inlineStr">
        <is>
          <t>BE Dev</t>
        </is>
      </c>
      <c r="I7" s="30" t="n">
        <v>46262</v>
      </c>
      <c r="J7" s="17" t="inlineStr">
        <is>
          <t>Open</t>
        </is>
      </c>
    </row>
    <row r="8" ht="48" customHeight="1">
      <c r="A8" s="29" t="inlineStr">
        <is>
          <t>R-07</t>
        </is>
      </c>
      <c r="B8" s="17" t="inlineStr">
        <is>
          <t>Risk</t>
        </is>
      </c>
      <c r="C8" s="18" t="inlineStr">
        <is>
          <t>Node→.NET port effort underestimated (Playwright/Flatiron MFA esp.)</t>
        </is>
      </c>
      <c r="D8" s="17" t="inlineStr">
        <is>
          <t>M</t>
        </is>
      </c>
      <c r="E8" s="17" t="inlineStr">
        <is>
          <t>H</t>
        </is>
      </c>
      <c r="F8" s="17">
        <f>IFERROR(IF(OR(D8="—",E8="—"),"—",CHOOSE(MATCH(D8,{"L","M","H"},0),"L","M","H")&amp;"·"&amp;CHOOSE(MATCH(E8,{"L","M","H","C"},0),"L","M","H","C")),"—")</f>
        <v/>
      </c>
      <c r="G8" s="18" t="inlineStr">
        <is>
          <t>Validate with thin Sprint 1 slice; rebaseline B1 vibe multiplier and Trad Hours if Sprint 3 spillover &gt;20%.</t>
        </is>
      </c>
      <c r="H8" s="17" t="inlineStr">
        <is>
          <t>Kiran</t>
        </is>
      </c>
      <c r="I8" s="30" t="n">
        <v>46220</v>
      </c>
      <c r="J8" s="17" t="inlineStr">
        <is>
          <t>Open</t>
        </is>
      </c>
    </row>
    <row r="9" ht="48" customHeight="1">
      <c r="A9" s="29" t="inlineStr">
        <is>
          <t>R-08</t>
        </is>
      </c>
      <c r="B9" s="17" t="inlineStr">
        <is>
          <t>Risk</t>
        </is>
      </c>
      <c r="C9" s="18" t="inlineStr">
        <is>
          <t>Microsoft.Playwright (.NET) reliability for long-running MFA sessions</t>
        </is>
      </c>
      <c r="D9" s="17" t="inlineStr">
        <is>
          <t>M</t>
        </is>
      </c>
      <c r="E9" s="17" t="inlineStr">
        <is>
          <t>M</t>
        </is>
      </c>
      <c r="F9" s="17">
        <f>IFERROR(IF(OR(D9="—",E9="—"),"—",CHOOSE(MATCH(D9,{"L","M","H"},0),"L","M","H")&amp;"·"&amp;CHOOSE(MATCH(E9,{"L","M","H","C"},0),"L","M","H","C")),"—")</f>
        <v/>
      </c>
      <c r="G9" s="18" t="inlineStr">
        <is>
          <t>Run 24-hour headless soak in Sprint 3; keep storageState persistence + re-login fallback identical to Node version.</t>
        </is>
      </c>
      <c r="H9" s="17" t="inlineStr">
        <is>
          <t>BE Dev</t>
        </is>
      </c>
      <c r="I9" s="30" t="n">
        <v>46220</v>
      </c>
      <c r="J9" s="17" t="inlineStr">
        <is>
          <t>Open</t>
        </is>
      </c>
    </row>
    <row r="10" ht="48" customHeight="1">
      <c r="A10" s="29" t="inlineStr">
        <is>
          <t>R-09</t>
        </is>
      </c>
      <c r="B10" s="17" t="inlineStr">
        <is>
          <t>Risk</t>
        </is>
      </c>
      <c r="C10" s="18" t="inlineStr">
        <is>
          <t>0.5x Vibecoding multiplier may not hold for complex hub logic (channels, Polly, RLS)</t>
        </is>
      </c>
      <c r="D10" s="17" t="inlineStr">
        <is>
          <t>M</t>
        </is>
      </c>
      <c r="E10" s="17" t="inlineStr">
        <is>
          <t>H</t>
        </is>
      </c>
      <c r="F10" s="17">
        <f>IFERROR(IF(OR(D10="—",E10="—"),"—",CHOOSE(MATCH(D10,{"L","M","H"},0),"L","M","H")&amp;"·"&amp;CHOOSE(MATCH(E10,{"L","M","H","C"},0),"L","M","H","C")),"—")</f>
        <v/>
      </c>
      <c r="G10" s="18" t="inlineStr">
        <is>
          <t>Track actual vs. Vibe Hours per task; review at end of Sprint 2; rebaseline B1 cell if variance &gt;25%.</t>
        </is>
      </c>
      <c r="H10" s="17" t="inlineStr">
        <is>
          <t>Kiran</t>
        </is>
      </c>
      <c r="I10" s="30" t="n">
        <v>46192</v>
      </c>
      <c r="J10" s="17" t="inlineStr">
        <is>
          <t>Open</t>
        </is>
      </c>
    </row>
    <row r="11" ht="48" customHeight="1">
      <c r="A11" s="29" t="inlineStr">
        <is>
          <t>R-10</t>
        </is>
      </c>
      <c r="B11" s="17" t="inlineStr">
        <is>
          <t>Risk</t>
        </is>
      </c>
      <c r="C11" s="18" t="inlineStr">
        <is>
          <t>Frontend mock-to-real swap surfaces hidden contract gaps (shape mismatch, missing fields)</t>
        </is>
      </c>
      <c r="D11" s="17" t="inlineStr">
        <is>
          <t>M</t>
        </is>
      </c>
      <c r="E11" s="17" t="inlineStr">
        <is>
          <t>M</t>
        </is>
      </c>
      <c r="F11" s="17">
        <f>IFERROR(IF(OR(D11="—",E11="—"),"—",CHOOSE(MATCH(D11,{"L","M","H"},0),"L","M","H")&amp;"·"&amp;CHOOSE(MATCH(E11,{"L","M","H","C"},0),"L","M","H","C")),"—")</f>
        <v/>
      </c>
      <c r="G11" s="18" t="inlineStr">
        <is>
          <t>Generate TypeScript types from .NET DTOs (NSwag) before FE wire-up; contract tests in Sprint 4 (W-060).</t>
        </is>
      </c>
      <c r="H11" s="17" t="inlineStr">
        <is>
          <t>FE Dev</t>
        </is>
      </c>
      <c r="I11" s="30" t="n">
        <v>46227</v>
      </c>
      <c r="J11" s="17" t="inlineStr">
        <is>
          <t>Open</t>
        </is>
      </c>
    </row>
    <row r="12" ht="48" customHeight="1">
      <c r="A12" s="29" t="inlineStr">
        <is>
          <t>R-11</t>
        </is>
      </c>
      <c r="B12" s="17" t="inlineStr">
        <is>
          <t>Risk</t>
        </is>
      </c>
      <c r="C12" s="18" t="inlineStr">
        <is>
          <t>OAuth2/MFA flows for SharePoint + Flatiron sensitive to client config drift</t>
        </is>
      </c>
      <c r="D12" s="17" t="inlineStr">
        <is>
          <t>M</t>
        </is>
      </c>
      <c r="E12" s="17" t="inlineStr">
        <is>
          <t>H</t>
        </is>
      </c>
      <c r="F12" s="17">
        <f>IFERROR(IF(OR(D12="—",E12="—"),"—",CHOOSE(MATCH(D12,{"L","M","H"},0),"L","M","H")&amp;"·"&amp;CHOOSE(MATCH(E12,{"L","M","H","C"},0),"L","M","H","C")),"—")</f>
        <v/>
      </c>
      <c r="G12" s="18" t="inlineStr">
        <is>
          <t>Per-client smoke job after deploy; alert on auth-error spike; document tenant prerequisites in onboarding doc.</t>
        </is>
      </c>
      <c r="H12" s="17" t="inlineStr">
        <is>
          <t>BE Dev</t>
        </is>
      </c>
      <c r="I12" s="30" t="n">
        <v>46248</v>
      </c>
      <c r="J12" s="17" t="inlineStr">
        <is>
          <t>Open</t>
        </is>
      </c>
    </row>
    <row r="13" ht="48" customHeight="1">
      <c r="A13" s="29" t="inlineStr">
        <is>
          <t>D-01</t>
        </is>
      </c>
      <c r="B13" s="17" t="inlineStr">
        <is>
          <t>Decision</t>
        </is>
      </c>
      <c r="C13" s="18" t="inlineStr">
        <is>
          <t>Final backend choice — .NET 8 vs Python (FastAPI)</t>
        </is>
      </c>
      <c r="D13" s="17" t="inlineStr">
        <is>
          <t>—</t>
        </is>
      </c>
      <c r="E13" s="17" t="inlineStr">
        <is>
          <t>H</t>
        </is>
      </c>
      <c r="F13" s="17">
        <f>IFERROR(IF(OR(D13="—",E13="—"),"—",CHOOSE(MATCH(D13,{"L","M","H"},0),"L","M","H")&amp;"·"&amp;CHOOSE(MATCH(E13,{"L","M","H","C"},0),"L","M","H","C")),"—")</f>
        <v/>
      </c>
      <c r="G13" s="18" t="inlineStr">
        <is>
          <t>Default .NET (matches all design docs). Re-affirm at Sprint 0 close; if changed, swap BE tasks to Python equivalents (FastAPI + SQLAlchemy + Celery + Playwright-Python).</t>
        </is>
      </c>
      <c r="H13" s="17" t="inlineStr">
        <is>
          <t>Kiran</t>
        </is>
      </c>
      <c r="I13" s="30" t="n">
        <v>46178</v>
      </c>
      <c r="J13" s="17" t="inlineStr">
        <is>
          <t>Open</t>
        </is>
      </c>
    </row>
    <row r="14" ht="48" customHeight="1">
      <c r="A14" s="29" t="inlineStr">
        <is>
          <t>D-02</t>
        </is>
      </c>
      <c r="B14" s="17" t="inlineStr">
        <is>
          <t>Decision</t>
        </is>
      </c>
      <c r="C14" s="18" t="inlineStr">
        <is>
          <t>AI provider for auto-mapping — Claude API / OpenAI / local model</t>
        </is>
      </c>
      <c r="D14" s="17" t="inlineStr">
        <is>
          <t>—</t>
        </is>
      </c>
      <c r="E14" s="17" t="inlineStr">
        <is>
          <t>M</t>
        </is>
      </c>
      <c r="F14" s="17">
        <f>IFERROR(IF(OR(D14="—",E14="—"),"—",CHOOSE(MATCH(D14,{"L","M","H"},0),"L","M","H")&amp;"·"&amp;CHOOSE(MATCH(E14,{"L","M","H","C"},0),"L","M","H","C")),"—")</f>
        <v/>
      </c>
      <c r="G14" s="18" t="inlineStr">
        <is>
          <t>Bench-test top 2 candidates on a 50-pair fixture in Sprint 5; pick on cost × accuracy × latency.</t>
        </is>
      </c>
      <c r="H14" s="17" t="inlineStr">
        <is>
          <t>BE Dev</t>
        </is>
      </c>
      <c r="I14" s="30" t="n">
        <v>46269</v>
      </c>
      <c r="J14" s="17" t="inlineStr">
        <is>
          <t>Open</t>
        </is>
      </c>
    </row>
    <row r="15" ht="48" customHeight="1">
      <c r="A15" s="29" t="inlineStr">
        <is>
          <t>D-03</t>
        </is>
      </c>
      <c r="B15" s="17" t="inlineStr">
        <is>
          <t>Decision</t>
        </is>
      </c>
      <c r="C15" s="18" t="inlineStr">
        <is>
          <t>Hosting model — local / Docker / cloud (Azure or AWS)</t>
        </is>
      </c>
      <c r="D15" s="17" t="inlineStr">
        <is>
          <t>—</t>
        </is>
      </c>
      <c r="E15" s="17" t="inlineStr">
        <is>
          <t>M</t>
        </is>
      </c>
      <c r="F15" s="17">
        <f>IFERROR(IF(OR(D15="—",E15="—"),"—",CHOOSE(MATCH(D15,{"L","M","H"},0),"L","M","H")&amp;"·"&amp;CHOOSE(MATCH(E15,{"L","M","H","C"},0),"L","M","H","C")),"—")</f>
        <v/>
      </c>
      <c r="G15" s="18" t="inlineStr">
        <is>
          <t>Start local + Docker; choose cloud target by Sprint 2 to inform DevOps work in Sprint 4-5.</t>
        </is>
      </c>
      <c r="H15" s="17" t="inlineStr">
        <is>
          <t>DevOps</t>
        </is>
      </c>
      <c r="I15" s="30" t="n">
        <v>46192</v>
      </c>
      <c r="J15" s="17" t="inlineStr">
        <is>
          <t>Open</t>
        </is>
      </c>
    </row>
    <row r="16" ht="48" customHeight="1">
      <c r="A16" s="29" t="inlineStr">
        <is>
          <t>D-04</t>
        </is>
      </c>
      <c r="B16" s="17" t="inlineStr">
        <is>
          <t>Decision</t>
        </is>
      </c>
      <c r="C16" s="18" t="inlineStr">
        <is>
          <t>First two production clients/connectors after MVP</t>
        </is>
      </c>
      <c r="D16" s="17" t="inlineStr">
        <is>
          <t>—</t>
        </is>
      </c>
      <c r="E16" s="17" t="inlineStr">
        <is>
          <t>M</t>
        </is>
      </c>
      <c r="F16" s="17">
        <f>IFERROR(IF(OR(D16="—",E16="—"),"—",CHOOSE(MATCH(D16,{"L","M","H"},0),"L","M","H")&amp;"·"&amp;CHOOSE(MATCH(E16,{"L","M","H","C"},0),"L","M","H","C")),"—")</f>
        <v/>
      </c>
      <c r="G16" s="18" t="inlineStr">
        <is>
          <t>Confirm with stakeholders by Sprint 1 demo. Drives Phase 2 connector priority (DB/File/MQ vs scraping).</t>
        </is>
      </c>
      <c r="H16" s="17" t="inlineStr">
        <is>
          <t>BA</t>
        </is>
      </c>
      <c r="I16" s="30" t="n">
        <v>46192</v>
      </c>
      <c r="J16" s="17" t="inlineStr">
        <is>
          <t>Open</t>
        </is>
      </c>
    </row>
    <row r="17" ht="48" customHeight="1">
      <c r="A17" s="29" t="inlineStr">
        <is>
          <t>D-05</t>
        </is>
      </c>
      <c r="B17" s="17" t="inlineStr">
        <is>
          <t>Decision</t>
        </is>
      </c>
      <c r="C17" s="18" t="inlineStr">
        <is>
          <t>Transformation scripting language — Roslyn C# / Python / JavaScript / DSL</t>
        </is>
      </c>
      <c r="D17" s="17" t="inlineStr">
        <is>
          <t>—</t>
        </is>
      </c>
      <c r="E17" s="17" t="inlineStr">
        <is>
          <t>M</t>
        </is>
      </c>
      <c r="F17" s="17">
        <f>IFERROR(IF(OR(D17="—",E17="—"),"—",CHOOSE(MATCH(D17,{"L","M","H"},0),"L","M","H")&amp;"·"&amp;CHOOSE(MATCH(E17,{"L","M","H","C"},0),"L","M","H","C")),"—")</f>
        <v/>
      </c>
      <c r="G17" s="18" t="inlineStr">
        <is>
          <t>Default Roslyn C# (matches .NET host). Revisit if Python backend chosen (use RestrictedPython).</t>
        </is>
      </c>
      <c r="H17" s="17" t="inlineStr">
        <is>
          <t>BE Dev</t>
        </is>
      </c>
      <c r="I17" s="30" t="n">
        <v>46262</v>
      </c>
      <c r="J17" s="17" t="inlineStr">
        <is>
          <t>Open</t>
        </is>
      </c>
    </row>
  </sheetData>
  <conditionalFormatting sqref="J2:J17">
    <cfRule type="cellIs" priority="1" operator="equal" dxfId="5">
      <formula>"Open"</formula>
    </cfRule>
    <cfRule type="cellIs" priority="2" operator="equal" dxfId="1">
      <formula>"Mitigating"</formula>
    </cfRule>
    <cfRule type="cellIs" priority="3" operator="equal" dxfId="6">
      <formula>"Monitoring"</formula>
    </cfRule>
    <cfRule type="cellIs" priority="4" operator="equal" dxfId="3">
      <formula>"Closed"</formula>
    </cfRule>
    <cfRule type="cellIs" priority="5" operator="equal" dxfId="2">
      <formula>"Escalated"</formula>
    </cfRule>
  </conditionalFormatting>
  <conditionalFormatting sqref="E2:E17">
    <cfRule type="cellIs" priority="6" operator="equal" dxfId="2">
      <formula>"C"</formula>
    </cfRule>
    <cfRule type="cellIs" priority="7" operator="equal" dxfId="5">
      <formula>"H"</formula>
    </cfRule>
  </conditionalFormatting>
  <dataValidations count="4">
    <dataValidation sqref="B2:B17" showDropDown="0" showInputMessage="0" showErrorMessage="0" allowBlank="1" type="list">
      <formula1>"Risk,Issue,Decision,Assumption"</formula1>
    </dataValidation>
    <dataValidation sqref="D2:D17" showDropDown="0" showInputMessage="0" showErrorMessage="0" allowBlank="1" type="list">
      <formula1>"L,M,H,—"</formula1>
    </dataValidation>
    <dataValidation sqref="E2:E17" showDropDown="0" showInputMessage="0" showErrorMessage="0" allowBlank="1" type="list">
      <formula1>"L,M,H,C,—"</formula1>
    </dataValidation>
    <dataValidation sqref="J2:J17" showDropDown="0" showInputMessage="0" showErrorMessage="0" allowBlank="1" type="list">
      <formula1>"Open,Mitigating,Monitoring,Closed,Escalated"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2026-05-19T08:06:59Z</dcterms:created>
  <dcterms:modified xmlns:dcterms="http://purl.org/dc/terms/" xmlns:xsi="http://www.w3.org/2001/XMLSchema-instance" xsi:type="dcterms:W3CDTF">2026-05-19T08:06:59Z</dcterms:modified>
</cp:coreProperties>
</file>